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bmp" ContentType="image/bmp"/>
  <Default Extension="jpeg" ContentType="image/jpeg"/>
  <Default Extension="tiff" ContentType="image/tiff"/>
  <Default Extension="emf" ContentType="image/x-emf"/>
  <Default Extension="emz" ContentType="image/x-emz"/>
  <Default Extension="png" ContentType="image/png"/>
  <Default Extension="gif" ContentType="image/gif"/>
  <Default Extension="svg" ContentType="image/sv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商品清单" sheetId="1" r:id="rId1"/>
    <sheet name="汇总看板" sheetId="2" r:id="rId4"/>
  </sheets>
</workbook>
</file>

<file path=xl/sharedStrings.xml><?xml version="1.0" encoding="utf-8"?>
<sst xmlns="http://schemas.openxmlformats.org/spreadsheetml/2006/main" count="160" uniqueCount="160">
  <si>
    <t>产品图</t>
  </si>
  <si>
    <t>产品名称</t>
  </si>
  <si>
    <t>SKU</t>
  </si>
  <si>
    <t>品类</t>
  </si>
  <si>
    <t>单位</t>
  </si>
  <si>
    <t>供货价</t>
  </si>
  <si>
    <t>建议零售价</t>
  </si>
  <si>
    <t>采购量</t>
  </si>
  <si>
    <t>当前库存</t>
  </si>
  <si>
    <t>近7天销量</t>
  </si>
  <si>
    <t>预计销售额</t>
  </si>
  <si>
    <t>预计毛利</t>
  </si>
  <si>
    <t>毛利率</t>
  </si>
  <si>
    <t>安全库存</t>
  </si>
  <si>
    <t>补货建议</t>
  </si>
  <si>
    <t>评级</t>
  </si>
  <si>
    <t>上架日期</t>
  </si>
  <si>
    <t>备注</t>
  </si>
  <si>
    <t>空气质量仪</t>
  </si>
  <si>
    <t>MX-001</t>
  </si>
  <si>
    <t>家居</t>
  </si>
  <si>
    <t>跨表重复测试，核对图片/公式/格式</t>
  </si>
  <si>
    <t>件</t>
  </si>
  <si>
    <t>MX-002</t>
  </si>
  <si>
    <t>办公</t>
  </si>
  <si>
    <t>无线门铃套装</t>
  </si>
  <si>
    <t>套</t>
  </si>
  <si>
    <t>旅行</t>
  </si>
  <si>
    <t>盒</t>
  </si>
  <si>
    <t>USB-C扩展坞</t>
  </si>
  <si>
    <t>MX-003</t>
  </si>
  <si>
    <t>多口快充插排</t>
  </si>
  <si>
    <t>台</t>
  </si>
  <si>
    <t>MX-004</t>
  </si>
  <si>
    <t>补给</t>
  </si>
  <si>
    <t>折叠烧水杯</t>
  </si>
  <si>
    <t>MX-005</t>
  </si>
  <si>
    <t>热卖款</t>
  </si>
  <si>
    <t>MX-006</t>
  </si>
  <si>
    <t>渠道组合礼盒</t>
  </si>
  <si>
    <t>节能感应灯</t>
  </si>
  <si>
    <t>适合组合销售</t>
  </si>
  <si>
    <t>MX-007</t>
  </si>
  <si>
    <t>会议收纳包</t>
  </si>
  <si>
    <t>需关注库存</t>
  </si>
  <si>
    <t>MX-008</t>
  </si>
  <si>
    <t>新品首批</t>
  </si>
  <si>
    <t>旅行快充套装</t>
  </si>
  <si>
    <t>MX-009</t>
  </si>
  <si>
    <t>桌面环境套件</t>
  </si>
  <si>
    <t>MX-010</t>
  </si>
  <si>
    <t>MX-011</t>
  </si>
  <si>
    <t>家用补充液</t>
  </si>
  <si>
    <t>便携显示支架</t>
  </si>
  <si>
    <t>MX-012</t>
  </si>
  <si>
    <t>防水整理袋</t>
  </si>
  <si>
    <t>MX-013</t>
  </si>
  <si>
    <t>智能插座套装</t>
  </si>
  <si>
    <t>MX-014</t>
  </si>
  <si>
    <t>MX-015</t>
  </si>
  <si>
    <t>办公清洁盒</t>
  </si>
  <si>
    <t>厨房收纳篮</t>
  </si>
  <si>
    <t>MX-016</t>
  </si>
  <si>
    <t>蓝牙标签贴</t>
  </si>
  <si>
    <t>MX-017</t>
  </si>
  <si>
    <t>车载收纳桶</t>
  </si>
  <si>
    <t>MX-018</t>
  </si>
  <si>
    <t>智能温湿度卡</t>
  </si>
  <si>
    <t>MX-019</t>
  </si>
  <si>
    <t>文件防潮箱</t>
  </si>
  <si>
    <t>MX-020</t>
  </si>
  <si>
    <t>MX-021</t>
  </si>
  <si>
    <t>家居遥控贴</t>
  </si>
  <si>
    <t>会议备用线</t>
  </si>
  <si>
    <t>MX-022</t>
  </si>
  <si>
    <t>户外电源包</t>
  </si>
  <si>
    <t>MX-023</t>
  </si>
  <si>
    <t>旅行证件包</t>
  </si>
  <si>
    <t>MX-024</t>
  </si>
  <si>
    <t>屏幕清洁器</t>
  </si>
  <si>
    <t>MX-025</t>
  </si>
  <si>
    <t>床头灯套装</t>
  </si>
  <si>
    <t>MX-026</t>
  </si>
  <si>
    <t>便携小音箱</t>
  </si>
  <si>
    <t>MX-027</t>
  </si>
  <si>
    <t>家用能源插头</t>
  </si>
  <si>
    <t>MX-028</t>
  </si>
  <si>
    <t>桌面读写灯</t>
  </si>
  <si>
    <t>MX-029</t>
  </si>
  <si>
    <t>分装瓶礼盒</t>
  </si>
  <si>
    <t>MX-030</t>
  </si>
  <si>
    <t>MX-031</t>
  </si>
  <si>
    <t>空气滤芯包</t>
  </si>
  <si>
    <t>电源整理夹</t>
  </si>
  <si>
    <t>MX-032</t>
  </si>
  <si>
    <t>键盘清洁刷</t>
  </si>
  <si>
    <t>MX-033</t>
  </si>
  <si>
    <t>衣物防尘罩</t>
  </si>
  <si>
    <t>MX-034</t>
  </si>
  <si>
    <t>厨房封口夹</t>
  </si>
  <si>
    <t>MX-035</t>
  </si>
  <si>
    <t>网络会议套装</t>
  </si>
  <si>
    <t>MX-036</t>
  </si>
  <si>
    <t>MX-037</t>
  </si>
  <si>
    <t>门窗贴片传感器</t>
  </si>
  <si>
    <t>行李绑带组</t>
  </si>
  <si>
    <t>MX-038</t>
  </si>
  <si>
    <t>USB-C数据线盒</t>
  </si>
  <si>
    <t>MX-039</t>
  </si>
  <si>
    <t>家居安全铃</t>
  </si>
  <si>
    <t>MX-040</t>
  </si>
  <si>
    <t>可折叠收纳箱</t>
  </si>
  <si>
    <t>MX-041</t>
  </si>
  <si>
    <t>桌面充电塔</t>
  </si>
  <si>
    <t>MX-042</t>
  </si>
  <si>
    <t>户外水杯套</t>
  </si>
  <si>
    <t>MX-043</t>
  </si>
  <si>
    <t>迷你投屏器</t>
  </si>
  <si>
    <t>MX-044</t>
  </si>
  <si>
    <t>智能夜灯组</t>
  </si>
  <si>
    <t>MX-045</t>
  </si>
  <si>
    <t>渠道组合礼盒 升级款</t>
  </si>
  <si>
    <t>MX-046</t>
  </si>
  <si>
    <t>MX-047</t>
  </si>
  <si>
    <t>节能感应灯 Pro</t>
  </si>
  <si>
    <t>会议收纳包 组合装</t>
  </si>
  <si>
    <t>MX-048</t>
  </si>
  <si>
    <t>旅行快充套装 渠道装</t>
  </si>
  <si>
    <t>MX-049</t>
  </si>
  <si>
    <t>桌面环境套件 节能款</t>
  </si>
  <si>
    <t>MX-050</t>
  </si>
  <si>
    <t>MX-051</t>
  </si>
  <si>
    <t>家用补充液 轻巧款</t>
  </si>
  <si>
    <t>便携显示支架 旗舰款</t>
  </si>
  <si>
    <t>MX-052</t>
  </si>
  <si>
    <t>防水整理袋 标准款</t>
  </si>
  <si>
    <t>MX-053</t>
  </si>
  <si>
    <t>MX-054</t>
  </si>
  <si>
    <t>智能插座套装 升级款</t>
  </si>
  <si>
    <t>办公清洁盒 Pro</t>
  </si>
  <si>
    <t>MX-055</t>
  </si>
  <si>
    <t>厨房收纳篮 组合装</t>
  </si>
  <si>
    <t>MX-056</t>
  </si>
  <si>
    <t>蓝牙标签贴 渠道装</t>
  </si>
  <si>
    <t>MX-057</t>
  </si>
  <si>
    <t>车载收纳桶 节能款</t>
  </si>
  <si>
    <t>MX-058</t>
  </si>
  <si>
    <t>智能温湿度卡 轻巧款</t>
  </si>
  <si>
    <t>MX-059</t>
  </si>
  <si>
    <t>文件防潮箱 旗舰款</t>
  </si>
  <si>
    <t>MX-060</t>
  </si>
  <si>
    <t>供应商G · 渠道混合 汇总看板</t>
  </si>
  <si>
    <t>商品数量</t>
  </si>
  <si>
    <t>总销售额</t>
  </si>
  <si>
    <t>总毛利</t>
  </si>
  <si>
    <t>平均毛利率</t>
  </si>
  <si>
    <t>需补货 SKU</t>
  </si>
  <si>
    <t>平均评级</t>
  </si>
  <si>
    <t>销售额</t>
  </si>
  <si>
    <t>毛利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</si>
</sst>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64" formatCode="0"/>
    <numFmt numFmtId="165" formatCode="¥#,##0.00"/>
    <numFmt numFmtId="166" formatCode="0.00%"/>
    <numFmt numFmtId="167" formatCode="0.0"/>
    <numFmt numFmtId="168" formatCode="yyyy-mm-dd"/>
  </numFmts>
  <fonts count="7">
    <font>
      <sz val="11"/>
      <color theme="1"/>
      <name val="Calibri"/>
      <family val="2"/>
    </font>
    <font>
      <b val="1"/>
      <sz val="10.5"/>
      <color rgb="FFFFFFFF"/>
      <name val="Calibri"/>
      <family val="2"/>
    </font>
    <font>
      <sz val="10"/>
      <color rgb="FF1F2933"/>
      <name val="Calibri"/>
      <family val="2"/>
    </font>
    <font>
      <b val="1"/>
      <sz val="16"/>
      <color rgb="FF12313F"/>
      <name val="Calibri"/>
      <family val="2"/>
    </font>
    <font>
      <b val="1"/>
      <sz val="10.5"/>
      <color rgb="FF244653"/>
      <name val="Calibri"/>
      <family val="2"/>
    </font>
    <font>
      <b val="1"/>
      <sz val="12"/>
      <color rgb="FF173B4A"/>
      <name val="Calibri"/>
      <family val="2"/>
    </font>
    <font>
      <b val="1"/>
      <sz val="12"/>
      <color rgb="FF9A3412"/>
      <name val="Calibri"/>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F7FBFC"/>
      </patternFill>
    </fill>
    <fill>
      <patternFill patternType="solid">
        <fgColor rgb="FFDCEEF4"/>
      </patternFill>
    </fill>
    <fill>
      <patternFill patternType="solid">
        <fgColor rgb="FFEEF5F7"/>
      </patternFill>
    </fill>
    <fill>
      <patternFill patternType="solid">
        <fgColor rgb="FFFFF4D6"/>
      </patternFill>
    </fill>
  </fills>
  <borders count="5">
    <border>
      <left/>
      <right/>
      <top/>
      <bottom/>
      <diagonal/>
    </border>
    <border>
      <left style="thin">
        <color rgb="FFB7C9D3"/>
      </left>
      <right style="thin">
        <color rgb="FFB7C9D3"/>
      </right>
      <top style="thin">
        <color rgb="FFB7C9D3"/>
      </top>
      <bottom style="thin">
        <color rgb="FFB7C9D3"/>
      </bottom>
      <diagonal/>
    </border>
    <border>
      <left style="thin">
        <color rgb="FFDDE7EC"/>
      </left>
      <right style="thin">
        <color rgb="FFDDE7EC"/>
      </right>
      <top style="thin">
        <color rgb="FFDDE7EC"/>
      </top>
      <bottom style="thin">
        <color rgb="FFDDE7EC"/>
      </bottom>
      <diagonal/>
    </border>
    <border>
      <left style="thin">
        <color rgb="FFD5E0E6"/>
      </left>
      <right style="thin">
        <color rgb="FFD5E0E6"/>
      </right>
      <top style="thin">
        <color rgb="FFD5E0E6"/>
      </top>
      <bottom style="thin">
        <color rgb="FFD5E0E6"/>
      </bottom>
      <diagonal/>
    </border>
    <border>
      <left style="thin">
        <color rgb="FFEBCB8B"/>
      </left>
      <right style="thin">
        <color rgb="FFEBCB8B"/>
      </right>
      <top style="thin">
        <color rgb="FFEBCB8B"/>
      </top>
      <bottom style="thin">
        <color rgb="FFEBCB8B"/>
      </bottom>
      <diagonal/>
    </border>
  </borders>
  <cellStyleXfs count="1">
    <xf numFmtId="0" fontId="0" fillId="0" borderId="0"/>
  </cellStyleXfs>
  <cellXfs count="24">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164" fontId="2" fillId="3" borderId="2" xfId="0" applyNumberFormat="true" applyFont="true" applyFill="true" applyBorder="true" applyAlignment="true">
      <alignment horizontal="center" vertical="center"/>
    </xf>
    <xf numFmtId="165" fontId="2" fillId="3" borderId="2" xfId="0" applyNumberFormat="true" applyFont="true" applyFill="true" applyBorder="true" applyAlignment="true">
      <alignment horizontal="right" vertical="center"/>
    </xf>
    <xf numFmtId="166" fontId="2" fillId="3" borderId="2" xfId="0" applyNumberFormat="true" applyFont="true" applyFill="true" applyBorder="true" applyAlignment="true">
      <alignment horizontal="right" vertical="center"/>
    </xf>
    <xf numFmtId="167" fontId="2" fillId="3" borderId="2" xfId="0" applyNumberFormat="true" applyFont="true" applyFill="true" applyBorder="true" applyAlignment="true">
      <alignment horizontal="center" vertical="center"/>
    </xf>
    <xf numFmtId="168" fontId="2" fillId="3" borderId="2" xfId="0" applyNumberFormat="true" applyFont="true" applyFill="true" applyBorder="true" applyAlignment="true">
      <alignment horizontal="center" vertical="center"/>
    </xf>
    <xf numFmtId="0" fontId="2" fillId="4" borderId="2" xfId="0" applyFont="true" applyFill="true" applyBorder="true" applyAlignment="true">
      <alignment horizontal="left" vertical="center" wrapText="true"/>
    </xf>
    <xf numFmtId="0" fontId="2" fillId="4" borderId="2" xfId="0" applyFont="true" applyFill="true" applyBorder="true" applyAlignment="true">
      <alignment horizontal="center" vertical="center" wrapText="true"/>
    </xf>
    <xf numFmtId="164" fontId="2" fillId="4" borderId="2" xfId="0" applyNumberFormat="true" applyFont="true" applyFill="true" applyBorder="true" applyAlignment="true">
      <alignment horizontal="center" vertical="center"/>
    </xf>
    <xf numFmtId="165" fontId="2" fillId="4" borderId="2" xfId="0" applyNumberFormat="true" applyFont="true" applyFill="true" applyBorder="true" applyAlignment="true">
      <alignment horizontal="right" vertical="center"/>
    </xf>
    <xf numFmtId="166" fontId="2" fillId="4" borderId="2" xfId="0" applyNumberFormat="true" applyFont="true" applyFill="true" applyBorder="true" applyAlignment="true">
      <alignment horizontal="right" vertical="center"/>
    </xf>
    <xf numFmtId="167" fontId="2" fillId="4" borderId="2" xfId="0" applyNumberFormat="true" applyFont="true" applyFill="true" applyBorder="true" applyAlignment="true">
      <alignment horizontal="center" vertical="center"/>
    </xf>
    <xf numFmtId="168" fontId="2" fillId="4" borderId="2" xfId="0" applyNumberFormat="true" applyFont="true" applyFill="true" applyBorder="true" applyAlignment="true">
      <alignment horizontal="center" vertical="center"/>
    </xf>
    <xf numFmtId="0" fontId="3" fillId="5" borderId="1" xfId="0" applyFont="true" applyFill="true" applyBorder="true" applyAlignment="true">
      <alignment horizontal="left" vertical="center"/>
    </xf>
    <xf numFmtId="0" fontId="4" fillId="6" borderId="3" xfId="0" applyFont="true" applyFill="true" applyBorder="true" applyAlignment="true">
      <alignment horizontal="left" vertical="center"/>
    </xf>
    <xf numFmtId="167" fontId="5" fillId="3" borderId="3" xfId="0" applyNumberFormat="true" applyFont="true" applyFill="true" applyBorder="true" applyAlignment="true">
      <alignment horizontal="center" vertical="center"/>
    </xf>
    <xf numFmtId="165" fontId="5" fillId="3" borderId="3" xfId="0" applyNumberFormat="true" applyFont="true" applyFill="true" applyBorder="true" applyAlignment="true">
      <alignment horizontal="center" vertical="center"/>
    </xf>
    <xf numFmtId="166" fontId="5" fillId="3" borderId="3" xfId="0" applyNumberFormat="true" applyFont="true" applyFill="true" applyBorder="true" applyAlignment="true">
      <alignment horizontal="center" vertical="center"/>
    </xf>
    <xf numFmtId="164" fontId="6" fillId="7" borderId="4" xfId="0" applyNumberFormat="true" applyFont="true" applyFill="true" applyBorder="true" applyAlignment="true">
      <alignment horizontal="center" vertical="center"/>
    </xf>
    <xf numFmtId="14" fontId="0" fillId="0" borderId="0" xfId="0" applyNumberFormat="true" applyAlignment="false">
      <alignment/>
    </xf>
    <xf numFmtId="17" fontId="0" fillId="0" borderId="0" xfId="0" applyNumberFormat="true" applyAlignment="false">
      <alignment/>
    </xf>
  </cellXfs>
  <cellStyles count="1">
    <cellStyle name="Normal" xfId="0" builtinId="0"/>
  </cellStyles>
  <dxfs count="2">
    <dxf>
      <font>
        <b val="1"/>
        <sz val="11"/>
        <color rgb="FF9A0511"/>
        <name val="Calibri"/>
        <family val="2"/>
      </font>
      <fill>
        <patternFill patternType="solid">
          <bgColor rgb="FFF9D6D5"/>
        </patternFill>
      </fill>
    </dxf>
    <dxf>
      <font>
        <b val="1"/>
        <sz val="11"/>
        <color rgb="FF14532D"/>
        <name val="Calibri"/>
        <family val="2"/>
      </font>
      <fill>
        <patternFill patternType="solid">
          <bgColor rgb="FFDDF7E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0</xdr:col>
      <xdr:colOff>28575</xdr:colOff>
      <xdr:row>1</xdr:row>
      <xdr:rowOff>28575</xdr:rowOff>
    </xdr:from>
    <xdr:to>
      <xdr:col>1</xdr:col>
      <xdr:colOff>0</xdr:colOff>
      <xdr:row>1</xdr:row>
      <xdr:rowOff>647700</xdr:rowOff>
    </xdr:to>
    <xdr:pic>
      <xdr:nvPicPr>
        <xdr:cNvPr id="2" name="Picture 2" descr="空气质量仪"/>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xdr:row>
      <xdr:rowOff>28575</xdr:rowOff>
    </xdr:from>
    <xdr:to>
      <xdr:col>1</xdr:col>
      <xdr:colOff>0</xdr:colOff>
      <xdr:row>2</xdr:row>
      <xdr:rowOff>647700</xdr:rowOff>
    </xdr:to>
    <xdr:pic>
      <xdr:nvPicPr>
        <xdr:cNvPr id="3" name="Picture 3" descr="无线门铃套装"/>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xdr:row>
      <xdr:rowOff>28575</xdr:rowOff>
    </xdr:from>
    <xdr:to>
      <xdr:col>1</xdr:col>
      <xdr:colOff>0</xdr:colOff>
      <xdr:row>3</xdr:row>
      <xdr:rowOff>647700</xdr:rowOff>
    </xdr:to>
    <xdr:pic>
      <xdr:nvPicPr>
        <xdr:cNvPr id="4" name="Picture 4" descr="USB-C扩展坞"/>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xdr:row>
      <xdr:rowOff>28575</xdr:rowOff>
    </xdr:from>
    <xdr:to>
      <xdr:col>1</xdr:col>
      <xdr:colOff>0</xdr:colOff>
      <xdr:row>4</xdr:row>
      <xdr:rowOff>647700</xdr:rowOff>
    </xdr:to>
    <xdr:pic>
      <xdr:nvPicPr>
        <xdr:cNvPr id="5" name="Picture 5" descr="多口快充插排"/>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xdr:row>
      <xdr:rowOff>28575</xdr:rowOff>
    </xdr:from>
    <xdr:to>
      <xdr:col>1</xdr:col>
      <xdr:colOff>0</xdr:colOff>
      <xdr:row>5</xdr:row>
      <xdr:rowOff>647700</xdr:rowOff>
    </xdr:to>
    <xdr:pic>
      <xdr:nvPicPr>
        <xdr:cNvPr id="6" name="Picture 6" descr="折叠烧水杯"/>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6</xdr:row>
      <xdr:rowOff>28575</xdr:rowOff>
    </xdr:from>
    <xdr:to>
      <xdr:col>1</xdr:col>
      <xdr:colOff>0</xdr:colOff>
      <xdr:row>6</xdr:row>
      <xdr:rowOff>647700</xdr:rowOff>
    </xdr:to>
    <xdr:pic>
      <xdr:nvPicPr>
        <xdr:cNvPr id="7" name="Picture 7" descr="渠道组合礼盒"/>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7</xdr:row>
      <xdr:rowOff>28575</xdr:rowOff>
    </xdr:from>
    <xdr:to>
      <xdr:col>1</xdr:col>
      <xdr:colOff>0</xdr:colOff>
      <xdr:row>7</xdr:row>
      <xdr:rowOff>647700</xdr:rowOff>
    </xdr:to>
    <xdr:pic>
      <xdr:nvPicPr>
        <xdr:cNvPr id="8" name="Picture 8" descr="节能感应灯"/>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8</xdr:row>
      <xdr:rowOff>28575</xdr:rowOff>
    </xdr:from>
    <xdr:to>
      <xdr:col>1</xdr:col>
      <xdr:colOff>0</xdr:colOff>
      <xdr:row>8</xdr:row>
      <xdr:rowOff>647700</xdr:rowOff>
    </xdr:to>
    <xdr:pic>
      <xdr:nvPicPr>
        <xdr:cNvPr id="9" name="Picture 9" descr="会议收纳包"/>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9</xdr:row>
      <xdr:rowOff>28575</xdr:rowOff>
    </xdr:from>
    <xdr:to>
      <xdr:col>1</xdr:col>
      <xdr:colOff>0</xdr:colOff>
      <xdr:row>9</xdr:row>
      <xdr:rowOff>647700</xdr:rowOff>
    </xdr:to>
    <xdr:pic>
      <xdr:nvPicPr>
        <xdr:cNvPr id="10" name="Picture 10" descr="旅行快充套装"/>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10</xdr:row>
      <xdr:rowOff>28575</xdr:rowOff>
    </xdr:from>
    <xdr:to>
      <xdr:col>1</xdr:col>
      <xdr:colOff>0</xdr:colOff>
      <xdr:row>10</xdr:row>
      <xdr:rowOff>647700</xdr:rowOff>
    </xdr:to>
    <xdr:pic>
      <xdr:nvPicPr>
        <xdr:cNvPr id="11" name="Picture 11" descr="桌面环境套件"/>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11</xdr:row>
      <xdr:rowOff>28575</xdr:rowOff>
    </xdr:from>
    <xdr:to>
      <xdr:col>1</xdr:col>
      <xdr:colOff>0</xdr:colOff>
      <xdr:row>11</xdr:row>
      <xdr:rowOff>647700</xdr:rowOff>
    </xdr:to>
    <xdr:pic>
      <xdr:nvPicPr>
        <xdr:cNvPr id="12" name="Picture 12" descr="家用补充液"/>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12</xdr:row>
      <xdr:rowOff>28575</xdr:rowOff>
    </xdr:from>
    <xdr:to>
      <xdr:col>1</xdr:col>
      <xdr:colOff>0</xdr:colOff>
      <xdr:row>12</xdr:row>
      <xdr:rowOff>647700</xdr:rowOff>
    </xdr:to>
    <xdr:pic>
      <xdr:nvPicPr>
        <xdr:cNvPr id="13" name="Picture 13" descr="便携显示支架"/>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13</xdr:row>
      <xdr:rowOff>28575</xdr:rowOff>
    </xdr:from>
    <xdr:to>
      <xdr:col>1</xdr:col>
      <xdr:colOff>0</xdr:colOff>
      <xdr:row>13</xdr:row>
      <xdr:rowOff>647700</xdr:rowOff>
    </xdr:to>
    <xdr:pic>
      <xdr:nvPicPr>
        <xdr:cNvPr id="14" name="Picture 14" descr="防水整理袋"/>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14</xdr:row>
      <xdr:rowOff>28575</xdr:rowOff>
    </xdr:from>
    <xdr:to>
      <xdr:col>1</xdr:col>
      <xdr:colOff>0</xdr:colOff>
      <xdr:row>14</xdr:row>
      <xdr:rowOff>647700</xdr:rowOff>
    </xdr:to>
    <xdr:pic>
      <xdr:nvPicPr>
        <xdr:cNvPr id="15" name="Picture 15" descr="智能插座套装"/>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15</xdr:row>
      <xdr:rowOff>28575</xdr:rowOff>
    </xdr:from>
    <xdr:to>
      <xdr:col>1</xdr:col>
      <xdr:colOff>0</xdr:colOff>
      <xdr:row>15</xdr:row>
      <xdr:rowOff>647700</xdr:rowOff>
    </xdr:to>
    <xdr:pic>
      <xdr:nvPicPr>
        <xdr:cNvPr id="16" name="Picture 16" descr="办公清洁盒"/>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16</xdr:row>
      <xdr:rowOff>28575</xdr:rowOff>
    </xdr:from>
    <xdr:to>
      <xdr:col>1</xdr:col>
      <xdr:colOff>0</xdr:colOff>
      <xdr:row>16</xdr:row>
      <xdr:rowOff>647700</xdr:rowOff>
    </xdr:to>
    <xdr:pic>
      <xdr:nvPicPr>
        <xdr:cNvPr id="17" name="Picture 17" descr="厨房收纳篮"/>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17</xdr:row>
      <xdr:rowOff>28575</xdr:rowOff>
    </xdr:from>
    <xdr:to>
      <xdr:col>1</xdr:col>
      <xdr:colOff>0</xdr:colOff>
      <xdr:row>17</xdr:row>
      <xdr:rowOff>647700</xdr:rowOff>
    </xdr:to>
    <xdr:pic>
      <xdr:nvPicPr>
        <xdr:cNvPr id="18" name="Picture 18" descr="蓝牙标签贴"/>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18</xdr:row>
      <xdr:rowOff>28575</xdr:rowOff>
    </xdr:from>
    <xdr:to>
      <xdr:col>1</xdr:col>
      <xdr:colOff>0</xdr:colOff>
      <xdr:row>18</xdr:row>
      <xdr:rowOff>647700</xdr:rowOff>
    </xdr:to>
    <xdr:pic>
      <xdr:nvPicPr>
        <xdr:cNvPr id="19" name="Picture 19" descr="车载收纳桶"/>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19</xdr:row>
      <xdr:rowOff>28575</xdr:rowOff>
    </xdr:from>
    <xdr:to>
      <xdr:col>1</xdr:col>
      <xdr:colOff>0</xdr:colOff>
      <xdr:row>19</xdr:row>
      <xdr:rowOff>647700</xdr:rowOff>
    </xdr:to>
    <xdr:pic>
      <xdr:nvPicPr>
        <xdr:cNvPr id="20" name="Picture 20" descr="智能温湿度卡"/>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20</xdr:row>
      <xdr:rowOff>28575</xdr:rowOff>
    </xdr:from>
    <xdr:to>
      <xdr:col>1</xdr:col>
      <xdr:colOff>0</xdr:colOff>
      <xdr:row>20</xdr:row>
      <xdr:rowOff>647700</xdr:rowOff>
    </xdr:to>
    <xdr:pic>
      <xdr:nvPicPr>
        <xdr:cNvPr id="21" name="Picture 21" descr="文件防潮箱"/>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21</xdr:row>
      <xdr:rowOff>28575</xdr:rowOff>
    </xdr:from>
    <xdr:to>
      <xdr:col>1</xdr:col>
      <xdr:colOff>0</xdr:colOff>
      <xdr:row>21</xdr:row>
      <xdr:rowOff>647700</xdr:rowOff>
    </xdr:to>
    <xdr:pic>
      <xdr:nvPicPr>
        <xdr:cNvPr id="22" name="Picture 22" descr="家居遥控贴"/>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22</xdr:row>
      <xdr:rowOff>28575</xdr:rowOff>
    </xdr:from>
    <xdr:to>
      <xdr:col>1</xdr:col>
      <xdr:colOff>0</xdr:colOff>
      <xdr:row>22</xdr:row>
      <xdr:rowOff>647700</xdr:rowOff>
    </xdr:to>
    <xdr:pic>
      <xdr:nvPicPr>
        <xdr:cNvPr id="23" name="Picture 23" descr="会议备用线"/>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23</xdr:row>
      <xdr:rowOff>28575</xdr:rowOff>
    </xdr:from>
    <xdr:to>
      <xdr:col>1</xdr:col>
      <xdr:colOff>0</xdr:colOff>
      <xdr:row>23</xdr:row>
      <xdr:rowOff>647700</xdr:rowOff>
    </xdr:to>
    <xdr:pic>
      <xdr:nvPicPr>
        <xdr:cNvPr id="24" name="Picture 24" descr="户外电源包"/>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24</xdr:row>
      <xdr:rowOff>28575</xdr:rowOff>
    </xdr:from>
    <xdr:to>
      <xdr:col>1</xdr:col>
      <xdr:colOff>0</xdr:colOff>
      <xdr:row>24</xdr:row>
      <xdr:rowOff>647700</xdr:rowOff>
    </xdr:to>
    <xdr:pic>
      <xdr:nvPicPr>
        <xdr:cNvPr id="25" name="Picture 25" descr="旅行证件包"/>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25</xdr:row>
      <xdr:rowOff>28575</xdr:rowOff>
    </xdr:from>
    <xdr:to>
      <xdr:col>1</xdr:col>
      <xdr:colOff>0</xdr:colOff>
      <xdr:row>25</xdr:row>
      <xdr:rowOff>647700</xdr:rowOff>
    </xdr:to>
    <xdr:pic>
      <xdr:nvPicPr>
        <xdr:cNvPr id="26" name="Picture 26" descr="屏幕清洁器"/>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26</xdr:row>
      <xdr:rowOff>28575</xdr:rowOff>
    </xdr:from>
    <xdr:to>
      <xdr:col>1</xdr:col>
      <xdr:colOff>0</xdr:colOff>
      <xdr:row>26</xdr:row>
      <xdr:rowOff>647700</xdr:rowOff>
    </xdr:to>
    <xdr:pic>
      <xdr:nvPicPr>
        <xdr:cNvPr id="27" name="Picture 27" descr="床头灯套装"/>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27</xdr:row>
      <xdr:rowOff>28575</xdr:rowOff>
    </xdr:from>
    <xdr:to>
      <xdr:col>1</xdr:col>
      <xdr:colOff>0</xdr:colOff>
      <xdr:row>27</xdr:row>
      <xdr:rowOff>647700</xdr:rowOff>
    </xdr:to>
    <xdr:pic>
      <xdr:nvPicPr>
        <xdr:cNvPr id="28" name="Picture 28" descr="便携小音箱"/>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28</xdr:row>
      <xdr:rowOff>28575</xdr:rowOff>
    </xdr:from>
    <xdr:to>
      <xdr:col>1</xdr:col>
      <xdr:colOff>0</xdr:colOff>
      <xdr:row>28</xdr:row>
      <xdr:rowOff>647700</xdr:rowOff>
    </xdr:to>
    <xdr:pic>
      <xdr:nvPicPr>
        <xdr:cNvPr id="29" name="Picture 29" descr="家用能源插头"/>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29</xdr:row>
      <xdr:rowOff>28575</xdr:rowOff>
    </xdr:from>
    <xdr:to>
      <xdr:col>1</xdr:col>
      <xdr:colOff>0</xdr:colOff>
      <xdr:row>29</xdr:row>
      <xdr:rowOff>647700</xdr:rowOff>
    </xdr:to>
    <xdr:pic>
      <xdr:nvPicPr>
        <xdr:cNvPr id="30" name="Picture 30" descr="桌面读写灯"/>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30</xdr:row>
      <xdr:rowOff>28575</xdr:rowOff>
    </xdr:from>
    <xdr:to>
      <xdr:col>1</xdr:col>
      <xdr:colOff>0</xdr:colOff>
      <xdr:row>30</xdr:row>
      <xdr:rowOff>647700</xdr:rowOff>
    </xdr:to>
    <xdr:pic>
      <xdr:nvPicPr>
        <xdr:cNvPr id="31" name="Picture 31" descr="分装瓶礼盒"/>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31</xdr:row>
      <xdr:rowOff>28575</xdr:rowOff>
    </xdr:from>
    <xdr:to>
      <xdr:col>1</xdr:col>
      <xdr:colOff>0</xdr:colOff>
      <xdr:row>31</xdr:row>
      <xdr:rowOff>647700</xdr:rowOff>
    </xdr:to>
    <xdr:pic>
      <xdr:nvPicPr>
        <xdr:cNvPr id="32" name="Picture 32" descr="空气滤芯包"/>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32</xdr:row>
      <xdr:rowOff>28575</xdr:rowOff>
    </xdr:from>
    <xdr:to>
      <xdr:col>1</xdr:col>
      <xdr:colOff>0</xdr:colOff>
      <xdr:row>32</xdr:row>
      <xdr:rowOff>647700</xdr:rowOff>
    </xdr:to>
    <xdr:pic>
      <xdr:nvPicPr>
        <xdr:cNvPr id="33" name="Picture 33" descr="电源整理夹"/>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33</xdr:row>
      <xdr:rowOff>28575</xdr:rowOff>
    </xdr:from>
    <xdr:to>
      <xdr:col>1</xdr:col>
      <xdr:colOff>0</xdr:colOff>
      <xdr:row>33</xdr:row>
      <xdr:rowOff>647700</xdr:rowOff>
    </xdr:to>
    <xdr:pic>
      <xdr:nvPicPr>
        <xdr:cNvPr id="34" name="Picture 34" descr="键盘清洁刷"/>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34</xdr:row>
      <xdr:rowOff>28575</xdr:rowOff>
    </xdr:from>
    <xdr:to>
      <xdr:col>1</xdr:col>
      <xdr:colOff>0</xdr:colOff>
      <xdr:row>34</xdr:row>
      <xdr:rowOff>647700</xdr:rowOff>
    </xdr:to>
    <xdr:pic>
      <xdr:nvPicPr>
        <xdr:cNvPr id="35" name="Picture 35" descr="衣物防尘罩"/>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35</xdr:row>
      <xdr:rowOff>28575</xdr:rowOff>
    </xdr:from>
    <xdr:to>
      <xdr:col>1</xdr:col>
      <xdr:colOff>0</xdr:colOff>
      <xdr:row>35</xdr:row>
      <xdr:rowOff>647700</xdr:rowOff>
    </xdr:to>
    <xdr:pic>
      <xdr:nvPicPr>
        <xdr:cNvPr id="36" name="Picture 36" descr="厨房封口夹"/>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36</xdr:row>
      <xdr:rowOff>28575</xdr:rowOff>
    </xdr:from>
    <xdr:to>
      <xdr:col>1</xdr:col>
      <xdr:colOff>0</xdr:colOff>
      <xdr:row>36</xdr:row>
      <xdr:rowOff>647700</xdr:rowOff>
    </xdr:to>
    <xdr:pic>
      <xdr:nvPicPr>
        <xdr:cNvPr id="37" name="Picture 37" descr="网络会议套装"/>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37</xdr:row>
      <xdr:rowOff>28575</xdr:rowOff>
    </xdr:from>
    <xdr:to>
      <xdr:col>1</xdr:col>
      <xdr:colOff>0</xdr:colOff>
      <xdr:row>37</xdr:row>
      <xdr:rowOff>647700</xdr:rowOff>
    </xdr:to>
    <xdr:pic>
      <xdr:nvPicPr>
        <xdr:cNvPr id="38" name="Picture 38" descr="门窗贴片传感器"/>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38</xdr:row>
      <xdr:rowOff>28575</xdr:rowOff>
    </xdr:from>
    <xdr:to>
      <xdr:col>1</xdr:col>
      <xdr:colOff>0</xdr:colOff>
      <xdr:row>38</xdr:row>
      <xdr:rowOff>647700</xdr:rowOff>
    </xdr:to>
    <xdr:pic>
      <xdr:nvPicPr>
        <xdr:cNvPr id="39" name="Picture 39" descr="行李绑带组"/>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39</xdr:row>
      <xdr:rowOff>28575</xdr:rowOff>
    </xdr:from>
    <xdr:to>
      <xdr:col>1</xdr:col>
      <xdr:colOff>0</xdr:colOff>
      <xdr:row>39</xdr:row>
      <xdr:rowOff>647700</xdr:rowOff>
    </xdr:to>
    <xdr:pic>
      <xdr:nvPicPr>
        <xdr:cNvPr id="40" name="Picture 40" descr="USB-C数据线盒"/>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40</xdr:row>
      <xdr:rowOff>28575</xdr:rowOff>
    </xdr:from>
    <xdr:to>
      <xdr:col>1</xdr:col>
      <xdr:colOff>0</xdr:colOff>
      <xdr:row>40</xdr:row>
      <xdr:rowOff>647700</xdr:rowOff>
    </xdr:to>
    <xdr:pic>
      <xdr:nvPicPr>
        <xdr:cNvPr id="41" name="Picture 41" descr="家居安全铃"/>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41</xdr:row>
      <xdr:rowOff>28575</xdr:rowOff>
    </xdr:from>
    <xdr:to>
      <xdr:col>1</xdr:col>
      <xdr:colOff>0</xdr:colOff>
      <xdr:row>41</xdr:row>
      <xdr:rowOff>647700</xdr:rowOff>
    </xdr:to>
    <xdr:pic>
      <xdr:nvPicPr>
        <xdr:cNvPr id="42" name="Picture 42" descr="可折叠收纳箱"/>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42</xdr:row>
      <xdr:rowOff>28575</xdr:rowOff>
    </xdr:from>
    <xdr:to>
      <xdr:col>1</xdr:col>
      <xdr:colOff>0</xdr:colOff>
      <xdr:row>42</xdr:row>
      <xdr:rowOff>647700</xdr:rowOff>
    </xdr:to>
    <xdr:pic>
      <xdr:nvPicPr>
        <xdr:cNvPr id="43" name="Picture 43" descr="桌面充电塔"/>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43</xdr:row>
      <xdr:rowOff>28575</xdr:rowOff>
    </xdr:from>
    <xdr:to>
      <xdr:col>1</xdr:col>
      <xdr:colOff>0</xdr:colOff>
      <xdr:row>43</xdr:row>
      <xdr:rowOff>647700</xdr:rowOff>
    </xdr:to>
    <xdr:pic>
      <xdr:nvPicPr>
        <xdr:cNvPr id="44" name="Picture 44" descr="户外水杯套"/>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44</xdr:row>
      <xdr:rowOff>28575</xdr:rowOff>
    </xdr:from>
    <xdr:to>
      <xdr:col>1</xdr:col>
      <xdr:colOff>0</xdr:colOff>
      <xdr:row>44</xdr:row>
      <xdr:rowOff>647700</xdr:rowOff>
    </xdr:to>
    <xdr:pic>
      <xdr:nvPicPr>
        <xdr:cNvPr id="45" name="Picture 45" descr="迷你投屏器"/>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45</xdr:row>
      <xdr:rowOff>28575</xdr:rowOff>
    </xdr:from>
    <xdr:to>
      <xdr:col>1</xdr:col>
      <xdr:colOff>0</xdr:colOff>
      <xdr:row>45</xdr:row>
      <xdr:rowOff>647700</xdr:rowOff>
    </xdr:to>
    <xdr:pic>
      <xdr:nvPicPr>
        <xdr:cNvPr id="46" name="Picture 46" descr="智能夜灯组"/>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46</xdr:row>
      <xdr:rowOff>28575</xdr:rowOff>
    </xdr:from>
    <xdr:to>
      <xdr:col>1</xdr:col>
      <xdr:colOff>0</xdr:colOff>
      <xdr:row>46</xdr:row>
      <xdr:rowOff>647700</xdr:rowOff>
    </xdr:to>
    <xdr:pic>
      <xdr:nvPicPr>
        <xdr:cNvPr id="47" name="Picture 47" descr="渠道组合礼盒 升级款"/>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47</xdr:row>
      <xdr:rowOff>28575</xdr:rowOff>
    </xdr:from>
    <xdr:to>
      <xdr:col>1</xdr:col>
      <xdr:colOff>0</xdr:colOff>
      <xdr:row>47</xdr:row>
      <xdr:rowOff>647700</xdr:rowOff>
    </xdr:to>
    <xdr:pic>
      <xdr:nvPicPr>
        <xdr:cNvPr id="48" name="Picture 48" descr="节能感应灯 Pro"/>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48</xdr:row>
      <xdr:rowOff>28575</xdr:rowOff>
    </xdr:from>
    <xdr:to>
      <xdr:col>1</xdr:col>
      <xdr:colOff>0</xdr:colOff>
      <xdr:row>48</xdr:row>
      <xdr:rowOff>647700</xdr:rowOff>
    </xdr:to>
    <xdr:pic>
      <xdr:nvPicPr>
        <xdr:cNvPr id="49" name="Picture 49" descr="会议收纳包 组合装"/>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49</xdr:row>
      <xdr:rowOff>28575</xdr:rowOff>
    </xdr:from>
    <xdr:to>
      <xdr:col>1</xdr:col>
      <xdr:colOff>0</xdr:colOff>
      <xdr:row>49</xdr:row>
      <xdr:rowOff>647700</xdr:rowOff>
    </xdr:to>
    <xdr:pic>
      <xdr:nvPicPr>
        <xdr:cNvPr id="50" name="Picture 50" descr="旅行快充套装 渠道装"/>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50</xdr:row>
      <xdr:rowOff>28575</xdr:rowOff>
    </xdr:from>
    <xdr:to>
      <xdr:col>1</xdr:col>
      <xdr:colOff>0</xdr:colOff>
      <xdr:row>50</xdr:row>
      <xdr:rowOff>647700</xdr:rowOff>
    </xdr:to>
    <xdr:pic>
      <xdr:nvPicPr>
        <xdr:cNvPr id="51" name="Picture 51" descr="桌面环境套件 节能款"/>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51</xdr:row>
      <xdr:rowOff>28575</xdr:rowOff>
    </xdr:from>
    <xdr:to>
      <xdr:col>1</xdr:col>
      <xdr:colOff>0</xdr:colOff>
      <xdr:row>51</xdr:row>
      <xdr:rowOff>647700</xdr:rowOff>
    </xdr:to>
    <xdr:pic>
      <xdr:nvPicPr>
        <xdr:cNvPr id="52" name="Picture 52" descr="家用补充液 轻巧款"/>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52</xdr:row>
      <xdr:rowOff>28575</xdr:rowOff>
    </xdr:from>
    <xdr:to>
      <xdr:col>1</xdr:col>
      <xdr:colOff>0</xdr:colOff>
      <xdr:row>52</xdr:row>
      <xdr:rowOff>647700</xdr:rowOff>
    </xdr:to>
    <xdr:pic>
      <xdr:nvPicPr>
        <xdr:cNvPr id="53" name="Picture 53" descr="便携显示支架 旗舰款"/>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53</xdr:row>
      <xdr:rowOff>28575</xdr:rowOff>
    </xdr:from>
    <xdr:to>
      <xdr:col>1</xdr:col>
      <xdr:colOff>0</xdr:colOff>
      <xdr:row>53</xdr:row>
      <xdr:rowOff>647700</xdr:rowOff>
    </xdr:to>
    <xdr:pic>
      <xdr:nvPicPr>
        <xdr:cNvPr id="54" name="Picture 54" descr="防水整理袋 标准款"/>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54</xdr:row>
      <xdr:rowOff>28575</xdr:rowOff>
    </xdr:from>
    <xdr:to>
      <xdr:col>1</xdr:col>
      <xdr:colOff>0</xdr:colOff>
      <xdr:row>54</xdr:row>
      <xdr:rowOff>647700</xdr:rowOff>
    </xdr:to>
    <xdr:pic>
      <xdr:nvPicPr>
        <xdr:cNvPr id="55" name="Picture 55" descr="智能插座套装 升级款"/>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55</xdr:row>
      <xdr:rowOff>28575</xdr:rowOff>
    </xdr:from>
    <xdr:to>
      <xdr:col>1</xdr:col>
      <xdr:colOff>0</xdr:colOff>
      <xdr:row>55</xdr:row>
      <xdr:rowOff>647700</xdr:rowOff>
    </xdr:to>
    <xdr:pic>
      <xdr:nvPicPr>
        <xdr:cNvPr id="56" name="Picture 56" descr="办公清洁盒 Pro"/>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56</xdr:row>
      <xdr:rowOff>28575</xdr:rowOff>
    </xdr:from>
    <xdr:to>
      <xdr:col>1</xdr:col>
      <xdr:colOff>0</xdr:colOff>
      <xdr:row>56</xdr:row>
      <xdr:rowOff>647700</xdr:rowOff>
    </xdr:to>
    <xdr:pic>
      <xdr:nvPicPr>
        <xdr:cNvPr id="57" name="Picture 57" descr="厨房收纳篮 组合装"/>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57</xdr:row>
      <xdr:rowOff>28575</xdr:rowOff>
    </xdr:from>
    <xdr:to>
      <xdr:col>1</xdr:col>
      <xdr:colOff>0</xdr:colOff>
      <xdr:row>57</xdr:row>
      <xdr:rowOff>647700</xdr:rowOff>
    </xdr:to>
    <xdr:pic>
      <xdr:nvPicPr>
        <xdr:cNvPr id="58" name="Picture 58" descr="蓝牙标签贴 渠道装"/>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58</xdr:row>
      <xdr:rowOff>28575</xdr:rowOff>
    </xdr:from>
    <xdr:to>
      <xdr:col>1</xdr:col>
      <xdr:colOff>0</xdr:colOff>
      <xdr:row>58</xdr:row>
      <xdr:rowOff>647700</xdr:rowOff>
    </xdr:to>
    <xdr:pic>
      <xdr:nvPicPr>
        <xdr:cNvPr id="59" name="Picture 59" descr="车载收纳桶 节能款"/>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59</xdr:row>
      <xdr:rowOff>28575</xdr:rowOff>
    </xdr:from>
    <xdr:to>
      <xdr:col>1</xdr:col>
      <xdr:colOff>0</xdr:colOff>
      <xdr:row>59</xdr:row>
      <xdr:rowOff>647700</xdr:rowOff>
    </xdr:to>
    <xdr:pic>
      <xdr:nvPicPr>
        <xdr:cNvPr id="60" name="Picture 60" descr="智能温湿度卡 轻巧款"/>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60</xdr:row>
      <xdr:rowOff>28575</xdr:rowOff>
    </xdr:from>
    <xdr:to>
      <xdr:col>1</xdr:col>
      <xdr:colOff>0</xdr:colOff>
      <xdr:row>60</xdr:row>
      <xdr:rowOff>647700</xdr:rowOff>
    </xdr:to>
    <xdr:pic>
      <xdr:nvPicPr>
        <xdr:cNvPr id="61" name="Picture 61" descr="文件防潮箱 旗舰款"/>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wsDr>
</file>

<file path=xl/tables/table1.xml><?xml version="1.0" encoding="utf-8"?>
<table xmlns="http://schemas.openxmlformats.org/spreadsheetml/2006/main" id="1" name="tbl_mixed_channel" displayName="tbl_mixed_channel" ref="A1:R61">
  <autoFilter ref="A1:R61"/>
  <tableColumns count="18">
    <tableColumn id="1" name="产品图"/>
    <tableColumn id="2" name="产品名称"/>
    <tableColumn id="3" name="SKU"/>
    <tableColumn id="4" name="品类"/>
    <tableColumn id="5" name="单位"/>
    <tableColumn id="6" name="供货价"/>
    <tableColumn id="7" name="建议零售价"/>
    <tableColumn id="8" name="采购量"/>
    <tableColumn id="9" name="当前库存"/>
    <tableColumn id="10" name="近7天销量"/>
    <tableColumn id="11" name="预计销售额"/>
    <tableColumn id="12" name="预计毛利"/>
    <tableColumn id="13" name="毛利率"/>
    <tableColumn id="14" name="安全库存"/>
    <tableColumn id="15" name="补货建议"/>
    <tableColumn id="16" name="评级"/>
    <tableColumn id="17" name="上架日期"/>
    <tableColumn id="18" name="备注"/>
  </tableColumns>
  <tableStyleInfo name="TableStyleMedium4" showFirstColumn="true" showLastColumn="tru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 Id="rId2"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x14="http://schemas.microsoft.com/office/spreadsheetml/2009/9/main" xmlns:mc="http://schemas.openxmlformats.org/markup-compatibility/2006" mc:Ignorable="x14">
  <dimension ref="A1"/>
  <sheetViews>
    <sheetView showGridLines="false" tabSelected="true" workbookViewId="0">
      <pane activePane="bottomRight" state="frozen" topLeftCell="C2" xSplit="2" ySplit="1"/>
      <selection activeCell="C2" pane="bottomRight" sqref="C2"/>
    </sheetView>
  </sheetViews>
  <sheetFormatPr defaultRowHeight="15"/>
  <cols>
    <col customWidth="true" max="1" min="1" width="15"/>
    <col customWidth="true" max="2" min="2" width="22"/>
    <col customWidth="true" max="3" min="3" width="15"/>
    <col customWidth="true" max="4" min="4" width="13"/>
    <col customWidth="true" max="5" min="5" width="8"/>
    <col customWidth="true" max="6" min="6" width="11"/>
    <col customWidth="true" max="7" min="7" width="12"/>
    <col customWidth="true" max="9" min="8" width="10"/>
    <col customWidth="true" max="10" min="10" width="11"/>
    <col customWidth="true" max="12" min="11" width="13"/>
    <col customWidth="true" max="14" min="13" width="10"/>
    <col customWidth="true" max="15" min="15" width="11"/>
    <col customWidth="true" max="16" min="16" width="8"/>
    <col customWidth="true" max="17" min="17" width="12"/>
    <col customWidth="true" max="18" min="18" width="24"/>
  </cols>
  <sheetData>
    <row r="1" ht="28"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58" customHeight="true">
      <c r="A2" s="3"/>
      <c r="B2" s="2" t="s">
        <v>18</v>
      </c>
      <c r="C2" s="3" t="s">
        <v>19</v>
      </c>
      <c r="D2" s="3" t="s">
        <v>20</v>
      </c>
      <c r="E2" s="3" t="s">
        <v>22</v>
      </c>
      <c r="F2" s="5">
        <v>36</v>
      </c>
      <c r="G2" s="5">
        <v>56.88</v>
      </c>
      <c r="H2" s="4">
        <v>48</v>
      </c>
      <c r="I2" s="4">
        <v>10</v>
      </c>
      <c r="J2" s="4">
        <v>8</v>
      </c>
      <c r="K2" s="5" t="str">
        <f>=G2*J2</f>
      </c>
      <c r="L2" s="5" t="str">
        <f>=(G2-F2)*J2</f>
      </c>
      <c r="M2" s="6" t="str">
        <f>=IF(K2=0,0,L2/K2)</f>
      </c>
      <c r="N2" s="4" t="str">
        <f>=ROUNDUP(J2*1.8,0)</f>
      </c>
      <c r="O2" s="3" t="str">
        <f>=IF(I2&lt;N2,"需要补货","正常")</f>
      </c>
      <c r="P2" s="7">
        <v>3.8</v>
      </c>
      <c r="Q2" s="8">
        <v>46145</v>
      </c>
      <c r="R2" s="2" t="s">
        <v>21</v>
      </c>
    </row>
    <row r="3" ht="58" customHeight="true">
      <c r="A3" s="10"/>
      <c r="B3" s="9" t="s">
        <v>25</v>
      </c>
      <c r="C3" s="10" t="s">
        <v>23</v>
      </c>
      <c r="D3" s="10" t="s">
        <v>24</v>
      </c>
      <c r="E3" s="10" t="s">
        <v>26</v>
      </c>
      <c r="F3" s="12">
        <v>61.5</v>
      </c>
      <c r="G3" s="12">
        <v>109.17</v>
      </c>
      <c r="H3" s="11">
        <v>57</v>
      </c>
      <c r="I3" s="11">
        <v>23</v>
      </c>
      <c r="J3" s="11">
        <v>15</v>
      </c>
      <c r="K3" s="12" t="str">
        <f>=G3*J3</f>
      </c>
      <c r="L3" s="12" t="str">
        <f>=(G3-F3)*J3</f>
      </c>
      <c r="M3" s="13" t="str">
        <f>=IF(K3=0,0,L3/K3)</f>
      </c>
      <c r="N3" s="11" t="str">
        <f>=ROUNDUP(J3*1.8,0)</f>
      </c>
      <c r="O3" s="10" t="str">
        <f>=IF(I3&lt;N3,"需要补货","正常")</f>
      </c>
      <c r="P3" s="14">
        <v>4.1</v>
      </c>
      <c r="Q3" s="15">
        <v>46140</v>
      </c>
      <c r="R3" s="9" t="s">
        <v>21</v>
      </c>
    </row>
    <row r="4" ht="58" customHeight="true">
      <c r="A4" s="3"/>
      <c r="B4" s="2" t="s">
        <v>29</v>
      </c>
      <c r="C4" s="3" t="s">
        <v>30</v>
      </c>
      <c r="D4" s="3" t="s">
        <v>27</v>
      </c>
      <c r="E4" s="3" t="s">
        <v>28</v>
      </c>
      <c r="F4" s="5">
        <v>87</v>
      </c>
      <c r="G4" s="5">
        <v>161.46</v>
      </c>
      <c r="H4" s="4">
        <v>66</v>
      </c>
      <c r="I4" s="4">
        <v>36</v>
      </c>
      <c r="J4" s="4">
        <v>22</v>
      </c>
      <c r="K4" s="5" t="str">
        <f>=G4*J4</f>
      </c>
      <c r="L4" s="5" t="str">
        <f>=(G4-F4)*J4</f>
      </c>
      <c r="M4" s="6" t="str">
        <f>=IF(K4=0,0,L4/K4)</f>
      </c>
      <c r="N4" s="4" t="str">
        <f>=ROUNDUP(J4*1.8,0)</f>
      </c>
      <c r="O4" s="3" t="str">
        <f>=IF(I4&lt;N4,"需要补货","正常")</f>
      </c>
      <c r="P4" s="7">
        <v>4.3999999999999995</v>
      </c>
      <c r="Q4" s="8">
        <v>46135</v>
      </c>
      <c r="R4" s="2" t="s">
        <v>21</v>
      </c>
    </row>
    <row r="5" ht="58" customHeight="true">
      <c r="A5" s="10"/>
      <c r="B5" s="9" t="s">
        <v>31</v>
      </c>
      <c r="C5" s="10" t="s">
        <v>33</v>
      </c>
      <c r="D5" s="10" t="s">
        <v>34</v>
      </c>
      <c r="E5" s="10" t="s">
        <v>32</v>
      </c>
      <c r="F5" s="12">
        <v>87</v>
      </c>
      <c r="G5" s="12">
        <v>173.46</v>
      </c>
      <c r="H5" s="11">
        <v>75</v>
      </c>
      <c r="I5" s="11">
        <v>49</v>
      </c>
      <c r="J5" s="11">
        <v>29</v>
      </c>
      <c r="K5" s="12" t="str">
        <f>=G5*J5</f>
      </c>
      <c r="L5" s="12" t="str">
        <f>=(G5-F5)*J5</f>
      </c>
      <c r="M5" s="13" t="str">
        <f>=IF(K5=0,0,L5/K5)</f>
      </c>
      <c r="N5" s="11" t="str">
        <f>=ROUNDUP(J5*1.8,0)</f>
      </c>
      <c r="O5" s="10" t="str">
        <f>=IF(I5&lt;N5,"需要补货","正常")</f>
      </c>
      <c r="P5" s="14">
        <v>4.7</v>
      </c>
      <c r="Q5" s="15">
        <v>46130</v>
      </c>
      <c r="R5" s="9" t="s">
        <v>21</v>
      </c>
    </row>
    <row r="6" ht="58" customHeight="true">
      <c r="A6" s="3"/>
      <c r="B6" s="2" t="s">
        <v>35</v>
      </c>
      <c r="C6" s="3" t="s">
        <v>36</v>
      </c>
      <c r="D6" s="3" t="s">
        <v>20</v>
      </c>
      <c r="E6" s="3" t="s">
        <v>22</v>
      </c>
      <c r="F6" s="5">
        <v>112.5</v>
      </c>
      <c r="G6" s="5">
        <v>177.75</v>
      </c>
      <c r="H6" s="4">
        <v>84</v>
      </c>
      <c r="I6" s="4">
        <v>62</v>
      </c>
      <c r="J6" s="4">
        <v>36</v>
      </c>
      <c r="K6" s="5" t="str">
        <f>=G6*J6</f>
      </c>
      <c r="L6" s="5" t="str">
        <f>=(G6-F6)*J6</f>
      </c>
      <c r="M6" s="6" t="str">
        <f>=IF(K6=0,0,L6/K6)</f>
      </c>
      <c r="N6" s="4" t="str">
        <f>=ROUNDUP(J6*1.8,0)</f>
      </c>
      <c r="O6" s="3" t="str">
        <f>=IF(I6&lt;N6,"需要补货","正常")</f>
      </c>
      <c r="P6" s="7">
        <v>3.8</v>
      </c>
      <c r="Q6" s="8">
        <v>46125</v>
      </c>
      <c r="R6" s="2" t="s">
        <v>21</v>
      </c>
    </row>
    <row r="7" ht="58" customHeight="true">
      <c r="A7" s="10"/>
      <c r="B7" s="9" t="s">
        <v>39</v>
      </c>
      <c r="C7" s="10" t="s">
        <v>38</v>
      </c>
      <c r="D7" s="10" t="s">
        <v>24</v>
      </c>
      <c r="E7" s="10" t="s">
        <v>26</v>
      </c>
      <c r="F7" s="12">
        <v>138</v>
      </c>
      <c r="G7" s="12">
        <v>230.04</v>
      </c>
      <c r="H7" s="11">
        <v>93</v>
      </c>
      <c r="I7" s="11">
        <v>75</v>
      </c>
      <c r="J7" s="11">
        <v>43</v>
      </c>
      <c r="K7" s="12" t="str">
        <f>=G7*J7</f>
      </c>
      <c r="L7" s="12" t="str">
        <f>=(G7-F7)*J7</f>
      </c>
      <c r="M7" s="13" t="str">
        <f>=IF(K7=0,0,L7/K7)</f>
      </c>
      <c r="N7" s="11" t="str">
        <f>=ROUNDUP(J7*1.8,0)</f>
      </c>
      <c r="O7" s="10" t="str">
        <f>=IF(I7&lt;N7,"需要补货","正常")</f>
      </c>
      <c r="P7" s="14">
        <v>4.1</v>
      </c>
      <c r="Q7" s="15">
        <v>46120</v>
      </c>
      <c r="R7" s="9" t="s">
        <v>37</v>
      </c>
    </row>
    <row r="8" ht="58" customHeight="true">
      <c r="A8" s="3"/>
      <c r="B8" s="2" t="s">
        <v>40</v>
      </c>
      <c r="C8" s="3" t="s">
        <v>42</v>
      </c>
      <c r="D8" s="3" t="s">
        <v>27</v>
      </c>
      <c r="E8" s="3" t="s">
        <v>28</v>
      </c>
      <c r="F8" s="5">
        <v>138</v>
      </c>
      <c r="G8" s="5">
        <v>242.04</v>
      </c>
      <c r="H8" s="4">
        <v>102</v>
      </c>
      <c r="I8" s="4">
        <v>88</v>
      </c>
      <c r="J8" s="4">
        <v>50</v>
      </c>
      <c r="K8" s="5" t="str">
        <f>=G8*J8</f>
      </c>
      <c r="L8" s="5" t="str">
        <f>=(G8-F8)*J8</f>
      </c>
      <c r="M8" s="6" t="str">
        <f>=IF(K8=0,0,L8/K8)</f>
      </c>
      <c r="N8" s="4" t="str">
        <f>=ROUNDUP(J8*1.8,0)</f>
      </c>
      <c r="O8" s="3" t="str">
        <f>=IF(I8&lt;N8,"需要补货","正常")</f>
      </c>
      <c r="P8" s="7">
        <v>4.3999999999999995</v>
      </c>
      <c r="Q8" s="8">
        <v>46115</v>
      </c>
      <c r="R8" s="2" t="s">
        <v>41</v>
      </c>
    </row>
    <row r="9" ht="58" customHeight="true">
      <c r="A9" s="10"/>
      <c r="B9" s="9" t="s">
        <v>43</v>
      </c>
      <c r="C9" s="10" t="s">
        <v>45</v>
      </c>
      <c r="D9" s="10" t="s">
        <v>34</v>
      </c>
      <c r="E9" s="10" t="s">
        <v>32</v>
      </c>
      <c r="F9" s="12">
        <v>163.5</v>
      </c>
      <c r="G9" s="12">
        <v>294.33</v>
      </c>
      <c r="H9" s="11">
        <v>111</v>
      </c>
      <c r="I9" s="11">
        <v>101</v>
      </c>
      <c r="J9" s="11">
        <v>57</v>
      </c>
      <c r="K9" s="12" t="str">
        <f>=G9*J9</f>
      </c>
      <c r="L9" s="12" t="str">
        <f>=(G9-F9)*J9</f>
      </c>
      <c r="M9" s="13" t="str">
        <f>=IF(K9=0,0,L9/K9)</f>
      </c>
      <c r="N9" s="11" t="str">
        <f>=ROUNDUP(J9*1.8,0)</f>
      </c>
      <c r="O9" s="10" t="str">
        <f>=IF(I9&lt;N9,"需要补货","正常")</f>
      </c>
      <c r="P9" s="14">
        <v>4.7</v>
      </c>
      <c r="Q9" s="15">
        <v>46110</v>
      </c>
      <c r="R9" s="9" t="s">
        <v>44</v>
      </c>
    </row>
    <row r="10" ht="58" customHeight="true">
      <c r="A10" s="3"/>
      <c r="B10" s="2" t="s">
        <v>47</v>
      </c>
      <c r="C10" s="3" t="s">
        <v>48</v>
      </c>
      <c r="D10" s="3" t="s">
        <v>20</v>
      </c>
      <c r="E10" s="3" t="s">
        <v>22</v>
      </c>
      <c r="F10" s="5">
        <v>59</v>
      </c>
      <c r="G10" s="5">
        <v>93.22</v>
      </c>
      <c r="H10" s="4">
        <v>120</v>
      </c>
      <c r="I10" s="4">
        <v>19</v>
      </c>
      <c r="J10" s="4">
        <v>10</v>
      </c>
      <c r="K10" s="5" t="str">
        <f>=G10*J10</f>
      </c>
      <c r="L10" s="5" t="str">
        <f>=(G10-F10)*J10</f>
      </c>
      <c r="M10" s="6" t="str">
        <f>=IF(K10=0,0,L10/K10)</f>
      </c>
      <c r="N10" s="4" t="str">
        <f>=ROUNDUP(J10*1.8,0)</f>
      </c>
      <c r="O10" s="3" t="str">
        <f>=IF(I10&lt;N10,"需要补货","正常")</f>
      </c>
      <c r="P10" s="7">
        <v>3.8</v>
      </c>
      <c r="Q10" s="8">
        <v>46105</v>
      </c>
      <c r="R10" s="2" t="s">
        <v>46</v>
      </c>
    </row>
    <row r="11" ht="58" customHeight="true">
      <c r="A11" s="10"/>
      <c r="B11" s="9" t="s">
        <v>49</v>
      </c>
      <c r="C11" s="10" t="s">
        <v>50</v>
      </c>
      <c r="D11" s="10" t="s">
        <v>24</v>
      </c>
      <c r="E11" s="10" t="s">
        <v>26</v>
      </c>
      <c r="F11" s="12">
        <v>59</v>
      </c>
      <c r="G11" s="12">
        <v>105.22</v>
      </c>
      <c r="H11" s="11">
        <v>129</v>
      </c>
      <c r="I11" s="11">
        <v>32</v>
      </c>
      <c r="J11" s="11">
        <v>17</v>
      </c>
      <c r="K11" s="12" t="str">
        <f>=G11*J11</f>
      </c>
      <c r="L11" s="12" t="str">
        <f>=(G11-F11)*J11</f>
      </c>
      <c r="M11" s="13" t="str">
        <f>=IF(K11=0,0,L11/K11)</f>
      </c>
      <c r="N11" s="11" t="str">
        <f>=ROUNDUP(J11*1.8,0)</f>
      </c>
      <c r="O11" s="10" t="str">
        <f>=IF(I11&lt;N11,"需要补货","正常")</f>
      </c>
      <c r="P11" s="14">
        <v>4.1</v>
      </c>
      <c r="Q11" s="15">
        <v>46100</v>
      </c>
      <c r="R11" s="9" t="s">
        <v>37</v>
      </c>
    </row>
    <row r="12" ht="58" customHeight="true">
      <c r="A12" s="3"/>
      <c r="B12" s="2" t="s">
        <v>52</v>
      </c>
      <c r="C12" s="3" t="s">
        <v>51</v>
      </c>
      <c r="D12" s="3" t="s">
        <v>27</v>
      </c>
      <c r="E12" s="3" t="s">
        <v>28</v>
      </c>
      <c r="F12" s="5">
        <v>84.5</v>
      </c>
      <c r="G12" s="5">
        <v>157.51</v>
      </c>
      <c r="H12" s="4">
        <v>48</v>
      </c>
      <c r="I12" s="4">
        <v>45</v>
      </c>
      <c r="J12" s="4">
        <v>24</v>
      </c>
      <c r="K12" s="5" t="str">
        <f>=G12*J12</f>
      </c>
      <c r="L12" s="5" t="str">
        <f>=(G12-F12)*J12</f>
      </c>
      <c r="M12" s="6" t="str">
        <f>=IF(K12=0,0,L12/K12)</f>
      </c>
      <c r="N12" s="4" t="str">
        <f>=ROUNDUP(J12*1.8,0)</f>
      </c>
      <c r="O12" s="3" t="str">
        <f>=IF(I12&lt;N12,"需要补货","正常")</f>
      </c>
      <c r="P12" s="7">
        <v>4.3999999999999995</v>
      </c>
      <c r="Q12" s="8">
        <v>46095</v>
      </c>
      <c r="R12" s="2" t="s">
        <v>41</v>
      </c>
    </row>
    <row r="13" ht="58" customHeight="true">
      <c r="A13" s="10"/>
      <c r="B13" s="9" t="s">
        <v>53</v>
      </c>
      <c r="C13" s="10" t="s">
        <v>54</v>
      </c>
      <c r="D13" s="10" t="s">
        <v>34</v>
      </c>
      <c r="E13" s="10" t="s">
        <v>32</v>
      </c>
      <c r="F13" s="12">
        <v>110</v>
      </c>
      <c r="G13" s="12">
        <v>209.8</v>
      </c>
      <c r="H13" s="11">
        <v>57</v>
      </c>
      <c r="I13" s="11">
        <v>58</v>
      </c>
      <c r="J13" s="11">
        <v>31</v>
      </c>
      <c r="K13" s="12" t="str">
        <f>=G13*J13</f>
      </c>
      <c r="L13" s="12" t="str">
        <f>=(G13-F13)*J13</f>
      </c>
      <c r="M13" s="13" t="str">
        <f>=IF(K13=0,0,L13/K13)</f>
      </c>
      <c r="N13" s="11" t="str">
        <f>=ROUNDUP(J13*1.8,0)</f>
      </c>
      <c r="O13" s="10" t="str">
        <f>=IF(I13&lt;N13,"需要补货","正常")</f>
      </c>
      <c r="P13" s="14">
        <v>4.7</v>
      </c>
      <c r="Q13" s="15">
        <v>46090</v>
      </c>
      <c r="R13" s="9" t="s">
        <v>44</v>
      </c>
    </row>
    <row r="14" ht="58" customHeight="true">
      <c r="A14" s="3"/>
      <c r="B14" s="2" t="s">
        <v>55</v>
      </c>
      <c r="C14" s="3" t="s">
        <v>56</v>
      </c>
      <c r="D14" s="3" t="s">
        <v>20</v>
      </c>
      <c r="E14" s="3" t="s">
        <v>22</v>
      </c>
      <c r="F14" s="5">
        <v>110</v>
      </c>
      <c r="G14" s="5">
        <v>173.8</v>
      </c>
      <c r="H14" s="4">
        <v>66</v>
      </c>
      <c r="I14" s="4">
        <v>71</v>
      </c>
      <c r="J14" s="4">
        <v>38</v>
      </c>
      <c r="K14" s="5" t="str">
        <f>=G14*J14</f>
      </c>
      <c r="L14" s="5" t="str">
        <f>=(G14-F14)*J14</f>
      </c>
      <c r="M14" s="6" t="str">
        <f>=IF(K14=0,0,L14/K14)</f>
      </c>
      <c r="N14" s="4" t="str">
        <f>=ROUNDUP(J14*1.8,0)</f>
      </c>
      <c r="O14" s="3" t="str">
        <f>=IF(I14&lt;N14,"需要补货","正常")</f>
      </c>
      <c r="P14" s="7">
        <v>3.8</v>
      </c>
      <c r="Q14" s="8">
        <v>46085</v>
      </c>
      <c r="R14" s="2" t="s">
        <v>46</v>
      </c>
    </row>
    <row r="15" ht="58" customHeight="true">
      <c r="A15" s="10"/>
      <c r="B15" s="9" t="s">
        <v>57</v>
      </c>
      <c r="C15" s="10" t="s">
        <v>58</v>
      </c>
      <c r="D15" s="10" t="s">
        <v>24</v>
      </c>
      <c r="E15" s="10" t="s">
        <v>26</v>
      </c>
      <c r="F15" s="12">
        <v>135.5</v>
      </c>
      <c r="G15" s="12">
        <v>226.09</v>
      </c>
      <c r="H15" s="11">
        <v>75</v>
      </c>
      <c r="I15" s="11">
        <v>84</v>
      </c>
      <c r="J15" s="11">
        <v>45</v>
      </c>
      <c r="K15" s="12" t="str">
        <f>=G15*J15</f>
      </c>
      <c r="L15" s="12" t="str">
        <f>=(G15-F15)*J15</f>
      </c>
      <c r="M15" s="13" t="str">
        <f>=IF(K15=0,0,L15/K15)</f>
      </c>
      <c r="N15" s="11" t="str">
        <f>=ROUNDUP(J15*1.8,0)</f>
      </c>
      <c r="O15" s="10" t="str">
        <f>=IF(I15&lt;N15,"需要补货","正常")</f>
      </c>
      <c r="P15" s="14">
        <v>4.1</v>
      </c>
      <c r="Q15" s="15">
        <v>46080</v>
      </c>
      <c r="R15" s="9" t="s">
        <v>37</v>
      </c>
    </row>
    <row r="16" ht="58" customHeight="true">
      <c r="A16" s="3"/>
      <c r="B16" s="2" t="s">
        <v>60</v>
      </c>
      <c r="C16" s="3" t="s">
        <v>59</v>
      </c>
      <c r="D16" s="3" t="s">
        <v>27</v>
      </c>
      <c r="E16" s="3" t="s">
        <v>28</v>
      </c>
      <c r="F16" s="5">
        <v>161</v>
      </c>
      <c r="G16" s="5">
        <v>278.38</v>
      </c>
      <c r="H16" s="4">
        <v>84</v>
      </c>
      <c r="I16" s="4">
        <v>97</v>
      </c>
      <c r="J16" s="4">
        <v>52</v>
      </c>
      <c r="K16" s="5" t="str">
        <f>=G16*J16</f>
      </c>
      <c r="L16" s="5" t="str">
        <f>=(G16-F16)*J16</f>
      </c>
      <c r="M16" s="6" t="str">
        <f>=IF(K16=0,0,L16/K16)</f>
      </c>
      <c r="N16" s="4" t="str">
        <f>=ROUNDUP(J16*1.8,0)</f>
      </c>
      <c r="O16" s="3" t="str">
        <f>=IF(I16&lt;N16,"需要补货","正常")</f>
      </c>
      <c r="P16" s="7">
        <v>4.3999999999999995</v>
      </c>
      <c r="Q16" s="8">
        <v>46075</v>
      </c>
      <c r="R16" s="2" t="s">
        <v>41</v>
      </c>
    </row>
    <row r="17" ht="58" customHeight="true">
      <c r="A17" s="10"/>
      <c r="B17" s="9" t="s">
        <v>61</v>
      </c>
      <c r="C17" s="10" t="s">
        <v>62</v>
      </c>
      <c r="D17" s="10" t="s">
        <v>34</v>
      </c>
      <c r="E17" s="10" t="s">
        <v>32</v>
      </c>
      <c r="F17" s="12">
        <v>161</v>
      </c>
      <c r="G17" s="12">
        <v>290.38</v>
      </c>
      <c r="H17" s="11">
        <v>93</v>
      </c>
      <c r="I17" s="11">
        <v>15</v>
      </c>
      <c r="J17" s="11">
        <v>59</v>
      </c>
      <c r="K17" s="12" t="str">
        <f>=G17*J17</f>
      </c>
      <c r="L17" s="12" t="str">
        <f>=(G17-F17)*J17</f>
      </c>
      <c r="M17" s="13" t="str">
        <f>=IF(K17=0,0,L17/K17)</f>
      </c>
      <c r="N17" s="11" t="str">
        <f>=ROUNDUP(J17*1.8,0)</f>
      </c>
      <c r="O17" s="10" t="str">
        <f>=IF(I17&lt;N17,"需要补货","正常")</f>
      </c>
      <c r="P17" s="14">
        <v>4.7</v>
      </c>
      <c r="Q17" s="15">
        <v>46070</v>
      </c>
      <c r="R17" s="9" t="s">
        <v>44</v>
      </c>
    </row>
    <row r="18" ht="58" customHeight="true">
      <c r="A18" s="3"/>
      <c r="B18" s="2" t="s">
        <v>63</v>
      </c>
      <c r="C18" s="3" t="s">
        <v>64</v>
      </c>
      <c r="D18" s="3" t="s">
        <v>20</v>
      </c>
      <c r="E18" s="3" t="s">
        <v>22</v>
      </c>
      <c r="F18" s="5">
        <v>56.5</v>
      </c>
      <c r="G18" s="5">
        <v>89.27</v>
      </c>
      <c r="H18" s="4">
        <v>102</v>
      </c>
      <c r="I18" s="4">
        <v>28</v>
      </c>
      <c r="J18" s="4">
        <v>12</v>
      </c>
      <c r="K18" s="5" t="str">
        <f>=G18*J18</f>
      </c>
      <c r="L18" s="5" t="str">
        <f>=(G18-F18)*J18</f>
      </c>
      <c r="M18" s="6" t="str">
        <f>=IF(K18=0,0,L18/K18)</f>
      </c>
      <c r="N18" s="4" t="str">
        <f>=ROUNDUP(J18*1.8,0)</f>
      </c>
      <c r="O18" s="3" t="str">
        <f>=IF(I18&lt;N18,"需要补货","正常")</f>
      </c>
      <c r="P18" s="7">
        <v>3.8</v>
      </c>
      <c r="Q18" s="8">
        <v>46065</v>
      </c>
      <c r="R18" s="2" t="s">
        <v>46</v>
      </c>
    </row>
    <row r="19" ht="58" customHeight="true">
      <c r="A19" s="10"/>
      <c r="B19" s="9" t="s">
        <v>65</v>
      </c>
      <c r="C19" s="10" t="s">
        <v>66</v>
      </c>
      <c r="D19" s="10" t="s">
        <v>24</v>
      </c>
      <c r="E19" s="10" t="s">
        <v>26</v>
      </c>
      <c r="F19" s="12">
        <v>82</v>
      </c>
      <c r="G19" s="12">
        <v>141.56</v>
      </c>
      <c r="H19" s="11">
        <v>111</v>
      </c>
      <c r="I19" s="11">
        <v>41</v>
      </c>
      <c r="J19" s="11">
        <v>19</v>
      </c>
      <c r="K19" s="12" t="str">
        <f>=G19*J19</f>
      </c>
      <c r="L19" s="12" t="str">
        <f>=(G19-F19)*J19</f>
      </c>
      <c r="M19" s="13" t="str">
        <f>=IF(K19=0,0,L19/K19)</f>
      </c>
      <c r="N19" s="11" t="str">
        <f>=ROUNDUP(J19*1.8,0)</f>
      </c>
      <c r="O19" s="10" t="str">
        <f>=IF(I19&lt;N19,"需要补货","正常")</f>
      </c>
      <c r="P19" s="14">
        <v>4.1</v>
      </c>
      <c r="Q19" s="15">
        <v>46060</v>
      </c>
      <c r="R19" s="9" t="s">
        <v>37</v>
      </c>
    </row>
    <row r="20" ht="58" customHeight="true">
      <c r="A20" s="3"/>
      <c r="B20" s="2" t="s">
        <v>67</v>
      </c>
      <c r="C20" s="3" t="s">
        <v>68</v>
      </c>
      <c r="D20" s="3" t="s">
        <v>27</v>
      </c>
      <c r="E20" s="3" t="s">
        <v>28</v>
      </c>
      <c r="F20" s="5">
        <v>82</v>
      </c>
      <c r="G20" s="5">
        <v>153.56</v>
      </c>
      <c r="H20" s="4">
        <v>120</v>
      </c>
      <c r="I20" s="4">
        <v>54</v>
      </c>
      <c r="J20" s="4">
        <v>26</v>
      </c>
      <c r="K20" s="5" t="str">
        <f>=G20*J20</f>
      </c>
      <c r="L20" s="5" t="str">
        <f>=(G20-F20)*J20</f>
      </c>
      <c r="M20" s="6" t="str">
        <f>=IF(K20=0,0,L20/K20)</f>
      </c>
      <c r="N20" s="4" t="str">
        <f>=ROUNDUP(J20*1.8,0)</f>
      </c>
      <c r="O20" s="3" t="str">
        <f>=IF(I20&lt;N20,"需要补货","正常")</f>
      </c>
      <c r="P20" s="7">
        <v>4.3999999999999995</v>
      </c>
      <c r="Q20" s="8">
        <v>46055</v>
      </c>
      <c r="R20" s="2" t="s">
        <v>41</v>
      </c>
    </row>
    <row r="21" ht="58" customHeight="true">
      <c r="A21" s="10"/>
      <c r="B21" s="9" t="s">
        <v>69</v>
      </c>
      <c r="C21" s="10" t="s">
        <v>70</v>
      </c>
      <c r="D21" s="10" t="s">
        <v>34</v>
      </c>
      <c r="E21" s="10" t="s">
        <v>32</v>
      </c>
      <c r="F21" s="12">
        <v>107.5</v>
      </c>
      <c r="G21" s="12">
        <v>205.85</v>
      </c>
      <c r="H21" s="11">
        <v>129</v>
      </c>
      <c r="I21" s="11">
        <v>67</v>
      </c>
      <c r="J21" s="11">
        <v>33</v>
      </c>
      <c r="K21" s="12" t="str">
        <f>=G21*J21</f>
      </c>
      <c r="L21" s="12" t="str">
        <f>=(G21-F21)*J21</f>
      </c>
      <c r="M21" s="13" t="str">
        <f>=IF(K21=0,0,L21/K21)</f>
      </c>
      <c r="N21" s="11" t="str">
        <f>=ROUNDUP(J21*1.8,0)</f>
      </c>
      <c r="O21" s="10" t="str">
        <f>=IF(I21&lt;N21,"需要补货","正常")</f>
      </c>
      <c r="P21" s="14">
        <v>4.7</v>
      </c>
      <c r="Q21" s="15">
        <v>46050</v>
      </c>
      <c r="R21" s="9" t="s">
        <v>44</v>
      </c>
    </row>
    <row r="22" ht="58" customHeight="true">
      <c r="A22" s="3"/>
      <c r="B22" s="2" t="s">
        <v>72</v>
      </c>
      <c r="C22" s="3" t="s">
        <v>71</v>
      </c>
      <c r="D22" s="3" t="s">
        <v>20</v>
      </c>
      <c r="E22" s="3" t="s">
        <v>22</v>
      </c>
      <c r="F22" s="5">
        <v>133</v>
      </c>
      <c r="G22" s="5">
        <v>210.14</v>
      </c>
      <c r="H22" s="4">
        <v>48</v>
      </c>
      <c r="I22" s="4">
        <v>80</v>
      </c>
      <c r="J22" s="4">
        <v>40</v>
      </c>
      <c r="K22" s="5" t="str">
        <f>=G22*J22</f>
      </c>
      <c r="L22" s="5" t="str">
        <f>=(G22-F22)*J22</f>
      </c>
      <c r="M22" s="6" t="str">
        <f>=IF(K22=0,0,L22/K22)</f>
      </c>
      <c r="N22" s="4" t="str">
        <f>=ROUNDUP(J22*1.8,0)</f>
      </c>
      <c r="O22" s="3" t="str">
        <f>=IF(I22&lt;N22,"需要补货","正常")</f>
      </c>
      <c r="P22" s="7">
        <v>3.8</v>
      </c>
      <c r="Q22" s="8">
        <v>46045</v>
      </c>
      <c r="R22" s="2" t="s">
        <v>46</v>
      </c>
    </row>
    <row r="23" ht="58" customHeight="true">
      <c r="A23" s="10"/>
      <c r="B23" s="9" t="s">
        <v>73</v>
      </c>
      <c r="C23" s="10" t="s">
        <v>74</v>
      </c>
      <c r="D23" s="10" t="s">
        <v>24</v>
      </c>
      <c r="E23" s="10" t="s">
        <v>26</v>
      </c>
      <c r="F23" s="12">
        <v>133</v>
      </c>
      <c r="G23" s="12">
        <v>222.14</v>
      </c>
      <c r="H23" s="11">
        <v>57</v>
      </c>
      <c r="I23" s="11">
        <v>93</v>
      </c>
      <c r="J23" s="11">
        <v>47</v>
      </c>
      <c r="K23" s="12" t="str">
        <f>=G23*J23</f>
      </c>
      <c r="L23" s="12" t="str">
        <f>=(G23-F23)*J23</f>
      </c>
      <c r="M23" s="13" t="str">
        <f>=IF(K23=0,0,L23/K23)</f>
      </c>
      <c r="N23" s="11" t="str">
        <f>=ROUNDUP(J23*1.8,0)</f>
      </c>
      <c r="O23" s="10" t="str">
        <f>=IF(I23&lt;N23,"需要补货","正常")</f>
      </c>
      <c r="P23" s="14">
        <v>4.1</v>
      </c>
      <c r="Q23" s="15">
        <v>46040</v>
      </c>
      <c r="R23" s="9" t="s">
        <v>37</v>
      </c>
    </row>
    <row r="24" ht="58" customHeight="true">
      <c r="A24" s="3"/>
      <c r="B24" s="2" t="s">
        <v>75</v>
      </c>
      <c r="C24" s="3" t="s">
        <v>76</v>
      </c>
      <c r="D24" s="3" t="s">
        <v>27</v>
      </c>
      <c r="E24" s="3" t="s">
        <v>28</v>
      </c>
      <c r="F24" s="5">
        <v>158.5</v>
      </c>
      <c r="G24" s="5">
        <v>274.43</v>
      </c>
      <c r="H24" s="4">
        <v>66</v>
      </c>
      <c r="I24" s="4">
        <v>11</v>
      </c>
      <c r="J24" s="4">
        <v>54</v>
      </c>
      <c r="K24" s="5" t="str">
        <f>=G24*J24</f>
      </c>
      <c r="L24" s="5" t="str">
        <f>=(G24-F24)*J24</f>
      </c>
      <c r="M24" s="6" t="str">
        <f>=IF(K24=0,0,L24/K24)</f>
      </c>
      <c r="N24" s="4" t="str">
        <f>=ROUNDUP(J24*1.8,0)</f>
      </c>
      <c r="O24" s="3" t="str">
        <f>=IF(I24&lt;N24,"需要补货","正常")</f>
      </c>
      <c r="P24" s="7">
        <v>4.3999999999999995</v>
      </c>
      <c r="Q24" s="8">
        <v>46035</v>
      </c>
      <c r="R24" s="2" t="s">
        <v>41</v>
      </c>
    </row>
    <row r="25" ht="58" customHeight="true">
      <c r="A25" s="10"/>
      <c r="B25" s="9" t="s">
        <v>77</v>
      </c>
      <c r="C25" s="10" t="s">
        <v>78</v>
      </c>
      <c r="D25" s="10" t="s">
        <v>34</v>
      </c>
      <c r="E25" s="10" t="s">
        <v>32</v>
      </c>
      <c r="F25" s="12">
        <v>54</v>
      </c>
      <c r="G25" s="12">
        <v>121.32</v>
      </c>
      <c r="H25" s="11">
        <v>75</v>
      </c>
      <c r="I25" s="11">
        <v>24</v>
      </c>
      <c r="J25" s="11">
        <v>61</v>
      </c>
      <c r="K25" s="12" t="str">
        <f>=G25*J25</f>
      </c>
      <c r="L25" s="12" t="str">
        <f>=(G25-F25)*J25</f>
      </c>
      <c r="M25" s="13" t="str">
        <f>=IF(K25=0,0,L25/K25)</f>
      </c>
      <c r="N25" s="11" t="str">
        <f>=ROUNDUP(J25*1.8,0)</f>
      </c>
      <c r="O25" s="10" t="str">
        <f>=IF(I25&lt;N25,"需要补货","正常")</f>
      </c>
      <c r="P25" s="14">
        <v>4.7</v>
      </c>
      <c r="Q25" s="15">
        <v>46030</v>
      </c>
      <c r="R25" s="9" t="s">
        <v>44</v>
      </c>
    </row>
    <row r="26" ht="58" customHeight="true">
      <c r="A26" s="3"/>
      <c r="B26" s="2" t="s">
        <v>79</v>
      </c>
      <c r="C26" s="3" t="s">
        <v>80</v>
      </c>
      <c r="D26" s="3" t="s">
        <v>20</v>
      </c>
      <c r="E26" s="3" t="s">
        <v>22</v>
      </c>
      <c r="F26" s="5">
        <v>54</v>
      </c>
      <c r="G26" s="5">
        <v>85.32</v>
      </c>
      <c r="H26" s="4">
        <v>84</v>
      </c>
      <c r="I26" s="4">
        <v>37</v>
      </c>
      <c r="J26" s="4">
        <v>14</v>
      </c>
      <c r="K26" s="5" t="str">
        <f>=G26*J26</f>
      </c>
      <c r="L26" s="5" t="str">
        <f>=(G26-F26)*J26</f>
      </c>
      <c r="M26" s="6" t="str">
        <f>=IF(K26=0,0,L26/K26)</f>
      </c>
      <c r="N26" s="4" t="str">
        <f>=ROUNDUP(J26*1.8,0)</f>
      </c>
      <c r="O26" s="3" t="str">
        <f>=IF(I26&lt;N26,"需要补货","正常")</f>
      </c>
      <c r="P26" s="7">
        <v>3.8</v>
      </c>
      <c r="Q26" s="8">
        <v>46025</v>
      </c>
      <c r="R26" s="2" t="s">
        <v>46</v>
      </c>
    </row>
    <row r="27" ht="58" customHeight="true">
      <c r="A27" s="10"/>
      <c r="B27" s="9" t="s">
        <v>81</v>
      </c>
      <c r="C27" s="10" t="s">
        <v>82</v>
      </c>
      <c r="D27" s="10" t="s">
        <v>24</v>
      </c>
      <c r="E27" s="10" t="s">
        <v>26</v>
      </c>
      <c r="F27" s="12">
        <v>79.5</v>
      </c>
      <c r="G27" s="12">
        <v>137.61</v>
      </c>
      <c r="H27" s="11">
        <v>93</v>
      </c>
      <c r="I27" s="11">
        <v>50</v>
      </c>
      <c r="J27" s="11">
        <v>21</v>
      </c>
      <c r="K27" s="12" t="str">
        <f>=G27*J27</f>
      </c>
      <c r="L27" s="12" t="str">
        <f>=(G27-F27)*J27</f>
      </c>
      <c r="M27" s="13" t="str">
        <f>=IF(K27=0,0,L27/K27)</f>
      </c>
      <c r="N27" s="11" t="str">
        <f>=ROUNDUP(J27*1.8,0)</f>
      </c>
      <c r="O27" s="10" t="str">
        <f>=IF(I27&lt;N27,"需要补货","正常")</f>
      </c>
      <c r="P27" s="14">
        <v>4.1</v>
      </c>
      <c r="Q27" s="15">
        <v>46020</v>
      </c>
      <c r="R27" s="9" t="s">
        <v>37</v>
      </c>
    </row>
    <row r="28" ht="58" customHeight="true">
      <c r="A28" s="3"/>
      <c r="B28" s="2" t="s">
        <v>83</v>
      </c>
      <c r="C28" s="3" t="s">
        <v>84</v>
      </c>
      <c r="D28" s="3" t="s">
        <v>27</v>
      </c>
      <c r="E28" s="3" t="s">
        <v>28</v>
      </c>
      <c r="F28" s="5">
        <v>105</v>
      </c>
      <c r="G28" s="5">
        <v>189.9</v>
      </c>
      <c r="H28" s="4">
        <v>102</v>
      </c>
      <c r="I28" s="4">
        <v>63</v>
      </c>
      <c r="J28" s="4">
        <v>28</v>
      </c>
      <c r="K28" s="5" t="str">
        <f>=G28*J28</f>
      </c>
      <c r="L28" s="5" t="str">
        <f>=(G28-F28)*J28</f>
      </c>
      <c r="M28" s="6" t="str">
        <f>=IF(K28=0,0,L28/K28)</f>
      </c>
      <c r="N28" s="4" t="str">
        <f>=ROUNDUP(J28*1.8,0)</f>
      </c>
      <c r="O28" s="3" t="str">
        <f>=IF(I28&lt;N28,"需要补货","正常")</f>
      </c>
      <c r="P28" s="7">
        <v>4.3999999999999995</v>
      </c>
      <c r="Q28" s="8">
        <v>46015</v>
      </c>
      <c r="R28" s="2" t="s">
        <v>41</v>
      </c>
    </row>
    <row r="29" ht="58" customHeight="true">
      <c r="A29" s="10"/>
      <c r="B29" s="9" t="s">
        <v>85</v>
      </c>
      <c r="C29" s="10" t="s">
        <v>86</v>
      </c>
      <c r="D29" s="10" t="s">
        <v>34</v>
      </c>
      <c r="E29" s="10" t="s">
        <v>32</v>
      </c>
      <c r="F29" s="12">
        <v>105</v>
      </c>
      <c r="G29" s="12">
        <v>201.9</v>
      </c>
      <c r="H29" s="11">
        <v>111</v>
      </c>
      <c r="I29" s="11">
        <v>76</v>
      </c>
      <c r="J29" s="11">
        <v>35</v>
      </c>
      <c r="K29" s="12" t="str">
        <f>=G29*J29</f>
      </c>
      <c r="L29" s="12" t="str">
        <f>=(G29-F29)*J29</f>
      </c>
      <c r="M29" s="13" t="str">
        <f>=IF(K29=0,0,L29/K29)</f>
      </c>
      <c r="N29" s="11" t="str">
        <f>=ROUNDUP(J29*1.8,0)</f>
      </c>
      <c r="O29" s="10" t="str">
        <f>=IF(I29&lt;N29,"需要补货","正常")</f>
      </c>
      <c r="P29" s="14">
        <v>4.7</v>
      </c>
      <c r="Q29" s="15">
        <v>46010</v>
      </c>
      <c r="R29" s="9" t="s">
        <v>44</v>
      </c>
    </row>
    <row r="30" ht="58" customHeight="true">
      <c r="A30" s="3"/>
      <c r="B30" s="2" t="s">
        <v>87</v>
      </c>
      <c r="C30" s="3" t="s">
        <v>88</v>
      </c>
      <c r="D30" s="3" t="s">
        <v>20</v>
      </c>
      <c r="E30" s="3" t="s">
        <v>22</v>
      </c>
      <c r="F30" s="5">
        <v>130.5</v>
      </c>
      <c r="G30" s="5">
        <v>206.19</v>
      </c>
      <c r="H30" s="4">
        <v>120</v>
      </c>
      <c r="I30" s="4">
        <v>89</v>
      </c>
      <c r="J30" s="4">
        <v>42</v>
      </c>
      <c r="K30" s="5" t="str">
        <f>=G30*J30</f>
      </c>
      <c r="L30" s="5" t="str">
        <f>=(G30-F30)*J30</f>
      </c>
      <c r="M30" s="6" t="str">
        <f>=IF(K30=0,0,L30/K30)</f>
      </c>
      <c r="N30" s="4" t="str">
        <f>=ROUNDUP(J30*1.8,0)</f>
      </c>
      <c r="O30" s="3" t="str">
        <f>=IF(I30&lt;N30,"需要补货","正常")</f>
      </c>
      <c r="P30" s="7">
        <v>3.8</v>
      </c>
      <c r="Q30" s="8">
        <v>46005</v>
      </c>
      <c r="R30" s="2" t="s">
        <v>46</v>
      </c>
    </row>
    <row r="31" ht="58" customHeight="true">
      <c r="A31" s="10"/>
      <c r="B31" s="9" t="s">
        <v>89</v>
      </c>
      <c r="C31" s="10" t="s">
        <v>90</v>
      </c>
      <c r="D31" s="10" t="s">
        <v>24</v>
      </c>
      <c r="E31" s="10" t="s">
        <v>26</v>
      </c>
      <c r="F31" s="12">
        <v>156</v>
      </c>
      <c r="G31" s="12">
        <v>258.48</v>
      </c>
      <c r="H31" s="11">
        <v>129</v>
      </c>
      <c r="I31" s="11">
        <v>102</v>
      </c>
      <c r="J31" s="11">
        <v>49</v>
      </c>
      <c r="K31" s="12" t="str">
        <f>=G31*J31</f>
      </c>
      <c r="L31" s="12" t="str">
        <f>=(G31-F31)*J31</f>
      </c>
      <c r="M31" s="13" t="str">
        <f>=IF(K31=0,0,L31/K31)</f>
      </c>
      <c r="N31" s="11" t="str">
        <f>=ROUNDUP(J31*1.8,0)</f>
      </c>
      <c r="O31" s="10" t="str">
        <f>=IF(I31&lt;N31,"需要补货","正常")</f>
      </c>
      <c r="P31" s="14">
        <v>4.1</v>
      </c>
      <c r="Q31" s="15">
        <v>46000</v>
      </c>
      <c r="R31" s="9" t="s">
        <v>37</v>
      </c>
    </row>
    <row r="32" ht="58" customHeight="true">
      <c r="A32" s="3"/>
      <c r="B32" s="2" t="s">
        <v>92</v>
      </c>
      <c r="C32" s="3" t="s">
        <v>91</v>
      </c>
      <c r="D32" s="3" t="s">
        <v>27</v>
      </c>
      <c r="E32" s="3" t="s">
        <v>28</v>
      </c>
      <c r="F32" s="5">
        <v>156</v>
      </c>
      <c r="G32" s="5">
        <v>270.48</v>
      </c>
      <c r="H32" s="4">
        <v>48</v>
      </c>
      <c r="I32" s="4">
        <v>20</v>
      </c>
      <c r="J32" s="4">
        <v>56</v>
      </c>
      <c r="K32" s="5" t="str">
        <f>=G32*J32</f>
      </c>
      <c r="L32" s="5" t="str">
        <f>=(G32-F32)*J32</f>
      </c>
      <c r="M32" s="6" t="str">
        <f>=IF(K32=0,0,L32/K32)</f>
      </c>
      <c r="N32" s="4" t="str">
        <f>=ROUNDUP(J32*1.8,0)</f>
      </c>
      <c r="O32" s="3" t="str">
        <f>=IF(I32&lt;N32,"需要补货","正常")</f>
      </c>
      <c r="P32" s="7">
        <v>4.3999999999999995</v>
      </c>
      <c r="Q32" s="8">
        <v>45995</v>
      </c>
      <c r="R32" s="2" t="s">
        <v>41</v>
      </c>
    </row>
    <row r="33" ht="58" customHeight="true">
      <c r="A33" s="10"/>
      <c r="B33" s="9" t="s">
        <v>93</v>
      </c>
      <c r="C33" s="10" t="s">
        <v>94</v>
      </c>
      <c r="D33" s="10" t="s">
        <v>34</v>
      </c>
      <c r="E33" s="10" t="s">
        <v>32</v>
      </c>
      <c r="F33" s="12">
        <v>51.5</v>
      </c>
      <c r="G33" s="12">
        <v>117.37</v>
      </c>
      <c r="H33" s="11">
        <v>57</v>
      </c>
      <c r="I33" s="11">
        <v>33</v>
      </c>
      <c r="J33" s="11">
        <v>9</v>
      </c>
      <c r="K33" s="12" t="str">
        <f>=G33*J33</f>
      </c>
      <c r="L33" s="12" t="str">
        <f>=(G33-F33)*J33</f>
      </c>
      <c r="M33" s="13" t="str">
        <f>=IF(K33=0,0,L33/K33)</f>
      </c>
      <c r="N33" s="11" t="str">
        <f>=ROUNDUP(J33*1.8,0)</f>
      </c>
      <c r="O33" s="10" t="str">
        <f>=IF(I33&lt;N33,"需要补货","正常")</f>
      </c>
      <c r="P33" s="14">
        <v>4.7</v>
      </c>
      <c r="Q33" s="15">
        <v>45990</v>
      </c>
      <c r="R33" s="9" t="s">
        <v>44</v>
      </c>
    </row>
    <row r="34" ht="58" customHeight="true">
      <c r="A34" s="3"/>
      <c r="B34" s="2" t="s">
        <v>95</v>
      </c>
      <c r="C34" s="3" t="s">
        <v>96</v>
      </c>
      <c r="D34" s="3" t="s">
        <v>20</v>
      </c>
      <c r="E34" s="3" t="s">
        <v>22</v>
      </c>
      <c r="F34" s="5">
        <v>77</v>
      </c>
      <c r="G34" s="5">
        <v>121.66</v>
      </c>
      <c r="H34" s="4">
        <v>66</v>
      </c>
      <c r="I34" s="4">
        <v>46</v>
      </c>
      <c r="J34" s="4">
        <v>16</v>
      </c>
      <c r="K34" s="5" t="str">
        <f>=G34*J34</f>
      </c>
      <c r="L34" s="5" t="str">
        <f>=(G34-F34)*J34</f>
      </c>
      <c r="M34" s="6" t="str">
        <f>=IF(K34=0,0,L34/K34)</f>
      </c>
      <c r="N34" s="4" t="str">
        <f>=ROUNDUP(J34*1.8,0)</f>
      </c>
      <c r="O34" s="3" t="str">
        <f>=IF(I34&lt;N34,"需要补货","正常")</f>
      </c>
      <c r="P34" s="7">
        <v>3.8</v>
      </c>
      <c r="Q34" s="8">
        <v>45985</v>
      </c>
      <c r="R34" s="2" t="s">
        <v>46</v>
      </c>
    </row>
    <row r="35" ht="58" customHeight="true">
      <c r="A35" s="10"/>
      <c r="B35" s="9" t="s">
        <v>97</v>
      </c>
      <c r="C35" s="10" t="s">
        <v>98</v>
      </c>
      <c r="D35" s="10" t="s">
        <v>24</v>
      </c>
      <c r="E35" s="10" t="s">
        <v>26</v>
      </c>
      <c r="F35" s="12">
        <v>77</v>
      </c>
      <c r="G35" s="12">
        <v>133.66</v>
      </c>
      <c r="H35" s="11">
        <v>75</v>
      </c>
      <c r="I35" s="11">
        <v>59</v>
      </c>
      <c r="J35" s="11">
        <v>23</v>
      </c>
      <c r="K35" s="12" t="str">
        <f>=G35*J35</f>
      </c>
      <c r="L35" s="12" t="str">
        <f>=(G35-F35)*J35</f>
      </c>
      <c r="M35" s="13" t="str">
        <f>=IF(K35=0,0,L35/K35)</f>
      </c>
      <c r="N35" s="11" t="str">
        <f>=ROUNDUP(J35*1.8,0)</f>
      </c>
      <c r="O35" s="10" t="str">
        <f>=IF(I35&lt;N35,"需要补货","正常")</f>
      </c>
      <c r="P35" s="14">
        <v>4.1</v>
      </c>
      <c r="Q35" s="15">
        <v>45980</v>
      </c>
      <c r="R35" s="9" t="s">
        <v>37</v>
      </c>
    </row>
    <row r="36" ht="58" customHeight="true">
      <c r="A36" s="3"/>
      <c r="B36" s="2" t="s">
        <v>99</v>
      </c>
      <c r="C36" s="3" t="s">
        <v>100</v>
      </c>
      <c r="D36" s="3" t="s">
        <v>27</v>
      </c>
      <c r="E36" s="3" t="s">
        <v>28</v>
      </c>
      <c r="F36" s="5">
        <v>102.5</v>
      </c>
      <c r="G36" s="5">
        <v>185.95</v>
      </c>
      <c r="H36" s="4">
        <v>84</v>
      </c>
      <c r="I36" s="4">
        <v>72</v>
      </c>
      <c r="J36" s="4">
        <v>30</v>
      </c>
      <c r="K36" s="5" t="str">
        <f>=G36*J36</f>
      </c>
      <c r="L36" s="5" t="str">
        <f>=(G36-F36)*J36</f>
      </c>
      <c r="M36" s="6" t="str">
        <f>=IF(K36=0,0,L36/K36)</f>
      </c>
      <c r="N36" s="4" t="str">
        <f>=ROUNDUP(J36*1.8,0)</f>
      </c>
      <c r="O36" s="3" t="str">
        <f>=IF(I36&lt;N36,"需要补货","正常")</f>
      </c>
      <c r="P36" s="7">
        <v>4.3999999999999995</v>
      </c>
      <c r="Q36" s="8">
        <v>45975</v>
      </c>
      <c r="R36" s="2" t="s">
        <v>41</v>
      </c>
    </row>
    <row r="37" ht="58" customHeight="true">
      <c r="A37" s="10"/>
      <c r="B37" s="9" t="s">
        <v>101</v>
      </c>
      <c r="C37" s="10" t="s">
        <v>102</v>
      </c>
      <c r="D37" s="10" t="s">
        <v>34</v>
      </c>
      <c r="E37" s="10" t="s">
        <v>32</v>
      </c>
      <c r="F37" s="12">
        <v>128</v>
      </c>
      <c r="G37" s="12">
        <v>238.24</v>
      </c>
      <c r="H37" s="11">
        <v>93</v>
      </c>
      <c r="I37" s="11">
        <v>85</v>
      </c>
      <c r="J37" s="11">
        <v>37</v>
      </c>
      <c r="K37" s="12" t="str">
        <f>=G37*J37</f>
      </c>
      <c r="L37" s="12" t="str">
        <f>=(G37-F37)*J37</f>
      </c>
      <c r="M37" s="13" t="str">
        <f>=IF(K37=0,0,L37/K37)</f>
      </c>
      <c r="N37" s="11" t="str">
        <f>=ROUNDUP(J37*1.8,0)</f>
      </c>
      <c r="O37" s="10" t="str">
        <f>=IF(I37&lt;N37,"需要补货","正常")</f>
      </c>
      <c r="P37" s="14">
        <v>4.7</v>
      </c>
      <c r="Q37" s="15">
        <v>45970</v>
      </c>
      <c r="R37" s="9" t="s">
        <v>44</v>
      </c>
    </row>
    <row r="38" ht="58" customHeight="true">
      <c r="A38" s="3"/>
      <c r="B38" s="2" t="s">
        <v>104</v>
      </c>
      <c r="C38" s="3" t="s">
        <v>103</v>
      </c>
      <c r="D38" s="3" t="s">
        <v>20</v>
      </c>
      <c r="E38" s="3" t="s">
        <v>22</v>
      </c>
      <c r="F38" s="5">
        <v>128</v>
      </c>
      <c r="G38" s="5">
        <v>202.24</v>
      </c>
      <c r="H38" s="4">
        <v>102</v>
      </c>
      <c r="I38" s="4">
        <v>98</v>
      </c>
      <c r="J38" s="4">
        <v>44</v>
      </c>
      <c r="K38" s="5" t="str">
        <f>=G38*J38</f>
      </c>
      <c r="L38" s="5" t="str">
        <f>=(G38-F38)*J38</f>
      </c>
      <c r="M38" s="6" t="str">
        <f>=IF(K38=0,0,L38/K38)</f>
      </c>
      <c r="N38" s="4" t="str">
        <f>=ROUNDUP(J38*1.8,0)</f>
      </c>
      <c r="O38" s="3" t="str">
        <f>=IF(I38&lt;N38,"需要补货","正常")</f>
      </c>
      <c r="P38" s="7">
        <v>3.8</v>
      </c>
      <c r="Q38" s="8">
        <v>45965</v>
      </c>
      <c r="R38" s="2" t="s">
        <v>46</v>
      </c>
    </row>
    <row r="39" ht="58" customHeight="true">
      <c r="A39" s="10"/>
      <c r="B39" s="9" t="s">
        <v>105</v>
      </c>
      <c r="C39" s="10" t="s">
        <v>106</v>
      </c>
      <c r="D39" s="10" t="s">
        <v>24</v>
      </c>
      <c r="E39" s="10" t="s">
        <v>26</v>
      </c>
      <c r="F39" s="12">
        <v>153.5</v>
      </c>
      <c r="G39" s="12">
        <v>254.53</v>
      </c>
      <c r="H39" s="11">
        <v>111</v>
      </c>
      <c r="I39" s="11">
        <v>16</v>
      </c>
      <c r="J39" s="11">
        <v>51</v>
      </c>
      <c r="K39" s="12" t="str">
        <f>=G39*J39</f>
      </c>
      <c r="L39" s="12" t="str">
        <f>=(G39-F39)*J39</f>
      </c>
      <c r="M39" s="13" t="str">
        <f>=IF(K39=0,0,L39/K39)</f>
      </c>
      <c r="N39" s="11" t="str">
        <f>=ROUNDUP(J39*1.8,0)</f>
      </c>
      <c r="O39" s="10" t="str">
        <f>=IF(I39&lt;N39,"需要补货","正常")</f>
      </c>
      <c r="P39" s="14">
        <v>4.1</v>
      </c>
      <c r="Q39" s="15">
        <v>45960</v>
      </c>
      <c r="R39" s="9" t="s">
        <v>37</v>
      </c>
    </row>
    <row r="40" ht="58" customHeight="true">
      <c r="A40" s="3"/>
      <c r="B40" s="2" t="s">
        <v>107</v>
      </c>
      <c r="C40" s="3" t="s">
        <v>108</v>
      </c>
      <c r="D40" s="3" t="s">
        <v>27</v>
      </c>
      <c r="E40" s="3" t="s">
        <v>28</v>
      </c>
      <c r="F40" s="5">
        <v>179</v>
      </c>
      <c r="G40" s="5">
        <v>306.82</v>
      </c>
      <c r="H40" s="4">
        <v>120</v>
      </c>
      <c r="I40" s="4">
        <v>29</v>
      </c>
      <c r="J40" s="4">
        <v>58</v>
      </c>
      <c r="K40" s="5" t="str">
        <f>=G40*J40</f>
      </c>
      <c r="L40" s="5" t="str">
        <f>=(G40-F40)*J40</f>
      </c>
      <c r="M40" s="6" t="str">
        <f>=IF(K40=0,0,L40/K40)</f>
      </c>
      <c r="N40" s="4" t="str">
        <f>=ROUNDUP(J40*1.8,0)</f>
      </c>
      <c r="O40" s="3" t="str">
        <f>=IF(I40&lt;N40,"需要补货","正常")</f>
      </c>
      <c r="P40" s="7">
        <v>4.3999999999999995</v>
      </c>
      <c r="Q40" s="8">
        <v>45955</v>
      </c>
      <c r="R40" s="2" t="s">
        <v>41</v>
      </c>
    </row>
    <row r="41" ht="58" customHeight="true">
      <c r="A41" s="10"/>
      <c r="B41" s="9" t="s">
        <v>109</v>
      </c>
      <c r="C41" s="10" t="s">
        <v>110</v>
      </c>
      <c r="D41" s="10" t="s">
        <v>34</v>
      </c>
      <c r="E41" s="10" t="s">
        <v>32</v>
      </c>
      <c r="F41" s="12">
        <v>49</v>
      </c>
      <c r="G41" s="12">
        <v>113.42</v>
      </c>
      <c r="H41" s="11">
        <v>129</v>
      </c>
      <c r="I41" s="11">
        <v>42</v>
      </c>
      <c r="J41" s="11">
        <v>11</v>
      </c>
      <c r="K41" s="12" t="str">
        <f>=G41*J41</f>
      </c>
      <c r="L41" s="12" t="str">
        <f>=(G41-F41)*J41</f>
      </c>
      <c r="M41" s="13" t="str">
        <f>=IF(K41=0,0,L41/K41)</f>
      </c>
      <c r="N41" s="11" t="str">
        <f>=ROUNDUP(J41*1.8,0)</f>
      </c>
      <c r="O41" s="10" t="str">
        <f>=IF(I41&lt;N41,"需要补货","正常")</f>
      </c>
      <c r="P41" s="14">
        <v>4.7</v>
      </c>
      <c r="Q41" s="15">
        <v>45950</v>
      </c>
      <c r="R41" s="9" t="s">
        <v>44</v>
      </c>
    </row>
    <row r="42" ht="58" customHeight="true">
      <c r="A42" s="3"/>
      <c r="B42" s="2" t="s">
        <v>111</v>
      </c>
      <c r="C42" s="3" t="s">
        <v>112</v>
      </c>
      <c r="D42" s="3" t="s">
        <v>20</v>
      </c>
      <c r="E42" s="3" t="s">
        <v>22</v>
      </c>
      <c r="F42" s="5">
        <v>74.5</v>
      </c>
      <c r="G42" s="5">
        <v>117.71</v>
      </c>
      <c r="H42" s="4">
        <v>48</v>
      </c>
      <c r="I42" s="4">
        <v>55</v>
      </c>
      <c r="J42" s="4">
        <v>18</v>
      </c>
      <c r="K42" s="5" t="str">
        <f>=G42*J42</f>
      </c>
      <c r="L42" s="5" t="str">
        <f>=(G42-F42)*J42</f>
      </c>
      <c r="M42" s="6" t="str">
        <f>=IF(K42=0,0,L42/K42)</f>
      </c>
      <c r="N42" s="4" t="str">
        <f>=ROUNDUP(J42*1.8,0)</f>
      </c>
      <c r="O42" s="3" t="str">
        <f>=IF(I42&lt;N42,"需要补货","正常")</f>
      </c>
      <c r="P42" s="7">
        <v>3.8</v>
      </c>
      <c r="Q42" s="8">
        <v>45945</v>
      </c>
      <c r="R42" s="2" t="s">
        <v>46</v>
      </c>
    </row>
    <row r="43" ht="58" customHeight="true">
      <c r="A43" s="10"/>
      <c r="B43" s="9" t="s">
        <v>113</v>
      </c>
      <c r="C43" s="10" t="s">
        <v>114</v>
      </c>
      <c r="D43" s="10" t="s">
        <v>24</v>
      </c>
      <c r="E43" s="10" t="s">
        <v>26</v>
      </c>
      <c r="F43" s="12">
        <v>100</v>
      </c>
      <c r="G43" s="12">
        <v>170</v>
      </c>
      <c r="H43" s="11">
        <v>57</v>
      </c>
      <c r="I43" s="11">
        <v>68</v>
      </c>
      <c r="J43" s="11">
        <v>25</v>
      </c>
      <c r="K43" s="12" t="str">
        <f>=G43*J43</f>
      </c>
      <c r="L43" s="12" t="str">
        <f>=(G43-F43)*J43</f>
      </c>
      <c r="M43" s="13" t="str">
        <f>=IF(K43=0,0,L43/K43)</f>
      </c>
      <c r="N43" s="11" t="str">
        <f>=ROUNDUP(J43*1.8,0)</f>
      </c>
      <c r="O43" s="10" t="str">
        <f>=IF(I43&lt;N43,"需要补货","正常")</f>
      </c>
      <c r="P43" s="14">
        <v>4.1</v>
      </c>
      <c r="Q43" s="15">
        <v>45940</v>
      </c>
      <c r="R43" s="9" t="s">
        <v>37</v>
      </c>
    </row>
    <row r="44" ht="58" customHeight="true">
      <c r="A44" s="3"/>
      <c r="B44" s="2" t="s">
        <v>115</v>
      </c>
      <c r="C44" s="3" t="s">
        <v>116</v>
      </c>
      <c r="D44" s="3" t="s">
        <v>27</v>
      </c>
      <c r="E44" s="3" t="s">
        <v>28</v>
      </c>
      <c r="F44" s="5">
        <v>100</v>
      </c>
      <c r="G44" s="5">
        <v>182</v>
      </c>
      <c r="H44" s="4">
        <v>66</v>
      </c>
      <c r="I44" s="4">
        <v>81</v>
      </c>
      <c r="J44" s="4">
        <v>32</v>
      </c>
      <c r="K44" s="5" t="str">
        <f>=G44*J44</f>
      </c>
      <c r="L44" s="5" t="str">
        <f>=(G44-F44)*J44</f>
      </c>
      <c r="M44" s="6" t="str">
        <f>=IF(K44=0,0,L44/K44)</f>
      </c>
      <c r="N44" s="4" t="str">
        <f>=ROUNDUP(J44*1.8,0)</f>
      </c>
      <c r="O44" s="3" t="str">
        <f>=IF(I44&lt;N44,"需要补货","正常")</f>
      </c>
      <c r="P44" s="7">
        <v>4.3999999999999995</v>
      </c>
      <c r="Q44" s="8">
        <v>45935</v>
      </c>
      <c r="R44" s="2" t="s">
        <v>41</v>
      </c>
    </row>
    <row r="45" ht="58" customHeight="true">
      <c r="A45" s="10"/>
      <c r="B45" s="9" t="s">
        <v>117</v>
      </c>
      <c r="C45" s="10" t="s">
        <v>118</v>
      </c>
      <c r="D45" s="10" t="s">
        <v>34</v>
      </c>
      <c r="E45" s="10" t="s">
        <v>32</v>
      </c>
      <c r="F45" s="12">
        <v>125.5</v>
      </c>
      <c r="G45" s="12">
        <v>234.29</v>
      </c>
      <c r="H45" s="11">
        <v>75</v>
      </c>
      <c r="I45" s="11">
        <v>94</v>
      </c>
      <c r="J45" s="11">
        <v>39</v>
      </c>
      <c r="K45" s="12" t="str">
        <f>=G45*J45</f>
      </c>
      <c r="L45" s="12" t="str">
        <f>=(G45-F45)*J45</f>
      </c>
      <c r="M45" s="13" t="str">
        <f>=IF(K45=0,0,L45/K45)</f>
      </c>
      <c r="N45" s="11" t="str">
        <f>=ROUNDUP(J45*1.8,0)</f>
      </c>
      <c r="O45" s="10" t="str">
        <f>=IF(I45&lt;N45,"需要补货","正常")</f>
      </c>
      <c r="P45" s="14">
        <v>4.7</v>
      </c>
      <c r="Q45" s="15">
        <v>45930</v>
      </c>
      <c r="R45" s="9" t="s">
        <v>44</v>
      </c>
    </row>
    <row r="46" ht="58" customHeight="true">
      <c r="A46" s="3"/>
      <c r="B46" s="2" t="s">
        <v>119</v>
      </c>
      <c r="C46" s="3" t="s">
        <v>120</v>
      </c>
      <c r="D46" s="3" t="s">
        <v>20</v>
      </c>
      <c r="E46" s="3" t="s">
        <v>22</v>
      </c>
      <c r="F46" s="5">
        <v>151</v>
      </c>
      <c r="G46" s="5">
        <v>238.58</v>
      </c>
      <c r="H46" s="4">
        <v>84</v>
      </c>
      <c r="I46" s="4">
        <v>12</v>
      </c>
      <c r="J46" s="4">
        <v>46</v>
      </c>
      <c r="K46" s="5" t="str">
        <f>=G46*J46</f>
      </c>
      <c r="L46" s="5" t="str">
        <f>=(G46-F46)*J46</f>
      </c>
      <c r="M46" s="6" t="str">
        <f>=IF(K46=0,0,L46/K46)</f>
      </c>
      <c r="N46" s="4" t="str">
        <f>=ROUNDUP(J46*1.8,0)</f>
      </c>
      <c r="O46" s="3" t="str">
        <f>=IF(I46&lt;N46,"需要补货","正常")</f>
      </c>
      <c r="P46" s="7">
        <v>3.8</v>
      </c>
      <c r="Q46" s="8">
        <v>45925</v>
      </c>
      <c r="R46" s="2" t="s">
        <v>46</v>
      </c>
    </row>
    <row r="47" ht="58" customHeight="true">
      <c r="A47" s="10"/>
      <c r="B47" s="9" t="s">
        <v>121</v>
      </c>
      <c r="C47" s="10" t="s">
        <v>122</v>
      </c>
      <c r="D47" s="10" t="s">
        <v>24</v>
      </c>
      <c r="E47" s="10" t="s">
        <v>26</v>
      </c>
      <c r="F47" s="12">
        <v>151</v>
      </c>
      <c r="G47" s="12">
        <v>250.58</v>
      </c>
      <c r="H47" s="11">
        <v>93</v>
      </c>
      <c r="I47" s="11">
        <v>25</v>
      </c>
      <c r="J47" s="11">
        <v>53</v>
      </c>
      <c r="K47" s="12" t="str">
        <f>=G47*J47</f>
      </c>
      <c r="L47" s="12" t="str">
        <f>=(G47-F47)*J47</f>
      </c>
      <c r="M47" s="13" t="str">
        <f>=IF(K47=0,0,L47/K47)</f>
      </c>
      <c r="N47" s="11" t="str">
        <f>=ROUNDUP(J47*1.8,0)</f>
      </c>
      <c r="O47" s="10" t="str">
        <f>=IF(I47&lt;N47,"需要补货","正常")</f>
      </c>
      <c r="P47" s="14">
        <v>4.1</v>
      </c>
      <c r="Q47" s="15">
        <v>45920</v>
      </c>
      <c r="R47" s="9" t="s">
        <v>37</v>
      </c>
    </row>
    <row r="48" ht="58" customHeight="true">
      <c r="A48" s="3"/>
      <c r="B48" s="2" t="s">
        <v>124</v>
      </c>
      <c r="C48" s="3" t="s">
        <v>123</v>
      </c>
      <c r="D48" s="3" t="s">
        <v>27</v>
      </c>
      <c r="E48" s="3" t="s">
        <v>28</v>
      </c>
      <c r="F48" s="5">
        <v>46.5</v>
      </c>
      <c r="G48" s="5">
        <v>97.47</v>
      </c>
      <c r="H48" s="4">
        <v>102</v>
      </c>
      <c r="I48" s="4">
        <v>38</v>
      </c>
      <c r="J48" s="4">
        <v>60</v>
      </c>
      <c r="K48" s="5" t="str">
        <f>=G48*J48</f>
      </c>
      <c r="L48" s="5" t="str">
        <f>=(G48-F48)*J48</f>
      </c>
      <c r="M48" s="6" t="str">
        <f>=IF(K48=0,0,L48/K48)</f>
      </c>
      <c r="N48" s="4" t="str">
        <f>=ROUNDUP(J48*1.8,0)</f>
      </c>
      <c r="O48" s="3" t="str">
        <f>=IF(I48&lt;N48,"需要补货","正常")</f>
      </c>
      <c r="P48" s="7">
        <v>4.3999999999999995</v>
      </c>
      <c r="Q48" s="8">
        <v>45915</v>
      </c>
      <c r="R48" s="2" t="s">
        <v>41</v>
      </c>
    </row>
    <row r="49" ht="58" customHeight="true">
      <c r="A49" s="10"/>
      <c r="B49" s="9" t="s">
        <v>125</v>
      </c>
      <c r="C49" s="10" t="s">
        <v>126</v>
      </c>
      <c r="D49" s="10" t="s">
        <v>34</v>
      </c>
      <c r="E49" s="10" t="s">
        <v>32</v>
      </c>
      <c r="F49" s="12">
        <v>72</v>
      </c>
      <c r="G49" s="12">
        <v>149.76</v>
      </c>
      <c r="H49" s="11">
        <v>111</v>
      </c>
      <c r="I49" s="11">
        <v>51</v>
      </c>
      <c r="J49" s="11">
        <v>13</v>
      </c>
      <c r="K49" s="12" t="str">
        <f>=G49*J49</f>
      </c>
      <c r="L49" s="12" t="str">
        <f>=(G49-F49)*J49</f>
      </c>
      <c r="M49" s="13" t="str">
        <f>=IF(K49=0,0,L49/K49)</f>
      </c>
      <c r="N49" s="11" t="str">
        <f>=ROUNDUP(J49*1.8,0)</f>
      </c>
      <c r="O49" s="10" t="str">
        <f>=IF(I49&lt;N49,"需要补货","正常")</f>
      </c>
      <c r="P49" s="14">
        <v>4.7</v>
      </c>
      <c r="Q49" s="15">
        <v>45910</v>
      </c>
      <c r="R49" s="9" t="s">
        <v>44</v>
      </c>
    </row>
    <row r="50" ht="58" customHeight="true">
      <c r="A50" s="3"/>
      <c r="B50" s="2" t="s">
        <v>127</v>
      </c>
      <c r="C50" s="3" t="s">
        <v>128</v>
      </c>
      <c r="D50" s="3" t="s">
        <v>20</v>
      </c>
      <c r="E50" s="3" t="s">
        <v>22</v>
      </c>
      <c r="F50" s="5">
        <v>72</v>
      </c>
      <c r="G50" s="5">
        <v>113.76</v>
      </c>
      <c r="H50" s="4">
        <v>120</v>
      </c>
      <c r="I50" s="4">
        <v>64</v>
      </c>
      <c r="J50" s="4">
        <v>20</v>
      </c>
      <c r="K50" s="5" t="str">
        <f>=G50*J50</f>
      </c>
      <c r="L50" s="5" t="str">
        <f>=(G50-F50)*J50</f>
      </c>
      <c r="M50" s="6" t="str">
        <f>=IF(K50=0,0,L50/K50)</f>
      </c>
      <c r="N50" s="4" t="str">
        <f>=ROUNDUP(J50*1.8,0)</f>
      </c>
      <c r="O50" s="3" t="str">
        <f>=IF(I50&lt;N50,"需要补货","正常")</f>
      </c>
      <c r="P50" s="7">
        <v>3.8</v>
      </c>
      <c r="Q50" s="8">
        <v>45905</v>
      </c>
      <c r="R50" s="2" t="s">
        <v>46</v>
      </c>
    </row>
    <row r="51" ht="58" customHeight="true">
      <c r="A51" s="10"/>
      <c r="B51" s="9" t="s">
        <v>129</v>
      </c>
      <c r="C51" s="10" t="s">
        <v>130</v>
      </c>
      <c r="D51" s="10" t="s">
        <v>24</v>
      </c>
      <c r="E51" s="10" t="s">
        <v>26</v>
      </c>
      <c r="F51" s="12">
        <v>97.5</v>
      </c>
      <c r="G51" s="12">
        <v>166.05</v>
      </c>
      <c r="H51" s="11">
        <v>129</v>
      </c>
      <c r="I51" s="11">
        <v>77</v>
      </c>
      <c r="J51" s="11">
        <v>27</v>
      </c>
      <c r="K51" s="12" t="str">
        <f>=G51*J51</f>
      </c>
      <c r="L51" s="12" t="str">
        <f>=(G51-F51)*J51</f>
      </c>
      <c r="M51" s="13" t="str">
        <f>=IF(K51=0,0,L51/K51)</f>
      </c>
      <c r="N51" s="11" t="str">
        <f>=ROUNDUP(J51*1.8,0)</f>
      </c>
      <c r="O51" s="10" t="str">
        <f>=IF(I51&lt;N51,"需要补货","正常")</f>
      </c>
      <c r="P51" s="14">
        <v>4.1</v>
      </c>
      <c r="Q51" s="15">
        <v>45900</v>
      </c>
      <c r="R51" s="9" t="s">
        <v>37</v>
      </c>
    </row>
    <row r="52" ht="58" customHeight="true">
      <c r="A52" s="3"/>
      <c r="B52" s="2" t="s">
        <v>132</v>
      </c>
      <c r="C52" s="3" t="s">
        <v>131</v>
      </c>
      <c r="D52" s="3" t="s">
        <v>27</v>
      </c>
      <c r="E52" s="3" t="s">
        <v>28</v>
      </c>
      <c r="F52" s="5">
        <v>123</v>
      </c>
      <c r="G52" s="5">
        <v>218.34</v>
      </c>
      <c r="H52" s="4">
        <v>48</v>
      </c>
      <c r="I52" s="4">
        <v>90</v>
      </c>
      <c r="J52" s="4">
        <v>34</v>
      </c>
      <c r="K52" s="5" t="str">
        <f>=G52*J52</f>
      </c>
      <c r="L52" s="5" t="str">
        <f>=(G52-F52)*J52</f>
      </c>
      <c r="M52" s="6" t="str">
        <f>=IF(K52=0,0,L52/K52)</f>
      </c>
      <c r="N52" s="4" t="str">
        <f>=ROUNDUP(J52*1.8,0)</f>
      </c>
      <c r="O52" s="3" t="str">
        <f>=IF(I52&lt;N52,"需要补货","正常")</f>
      </c>
      <c r="P52" s="7">
        <v>4.3999999999999995</v>
      </c>
      <c r="Q52" s="8">
        <v>45895</v>
      </c>
      <c r="R52" s="2" t="s">
        <v>41</v>
      </c>
    </row>
    <row r="53" ht="58" customHeight="true">
      <c r="A53" s="10"/>
      <c r="B53" s="9" t="s">
        <v>133</v>
      </c>
      <c r="C53" s="10" t="s">
        <v>134</v>
      </c>
      <c r="D53" s="10" t="s">
        <v>34</v>
      </c>
      <c r="E53" s="10" t="s">
        <v>32</v>
      </c>
      <c r="F53" s="12">
        <v>123</v>
      </c>
      <c r="G53" s="12">
        <v>230.34</v>
      </c>
      <c r="H53" s="11">
        <v>57</v>
      </c>
      <c r="I53" s="11">
        <v>103</v>
      </c>
      <c r="J53" s="11">
        <v>41</v>
      </c>
      <c r="K53" s="12" t="str">
        <f>=G53*J53</f>
      </c>
      <c r="L53" s="12" t="str">
        <f>=(G53-F53)*J53</f>
      </c>
      <c r="M53" s="13" t="str">
        <f>=IF(K53=0,0,L53/K53)</f>
      </c>
      <c r="N53" s="11" t="str">
        <f>=ROUNDUP(J53*1.8,0)</f>
      </c>
      <c r="O53" s="10" t="str">
        <f>=IF(I53&lt;N53,"需要补货","正常")</f>
      </c>
      <c r="P53" s="14">
        <v>4.7</v>
      </c>
      <c r="Q53" s="15">
        <v>45890</v>
      </c>
      <c r="R53" s="9" t="s">
        <v>44</v>
      </c>
    </row>
    <row r="54" ht="58" customHeight="true">
      <c r="A54" s="3"/>
      <c r="B54" s="2" t="s">
        <v>135</v>
      </c>
      <c r="C54" s="3" t="s">
        <v>136</v>
      </c>
      <c r="D54" s="3" t="s">
        <v>20</v>
      </c>
      <c r="E54" s="3" t="s">
        <v>22</v>
      </c>
      <c r="F54" s="5">
        <v>148.5</v>
      </c>
      <c r="G54" s="5">
        <v>234.63</v>
      </c>
      <c r="H54" s="4">
        <v>66</v>
      </c>
      <c r="I54" s="4">
        <v>21</v>
      </c>
      <c r="J54" s="4">
        <v>48</v>
      </c>
      <c r="K54" s="5" t="str">
        <f>=G54*J54</f>
      </c>
      <c r="L54" s="5" t="str">
        <f>=(G54-F54)*J54</f>
      </c>
      <c r="M54" s="6" t="str">
        <f>=IF(K54=0,0,L54/K54)</f>
      </c>
      <c r="N54" s="4" t="str">
        <f>=ROUNDUP(J54*1.8,0)</f>
      </c>
      <c r="O54" s="3" t="str">
        <f>=IF(I54&lt;N54,"需要补货","正常")</f>
      </c>
      <c r="P54" s="7">
        <v>3.8</v>
      </c>
      <c r="Q54" s="8">
        <v>45885</v>
      </c>
      <c r="R54" s="2" t="s">
        <v>46</v>
      </c>
    </row>
    <row r="55" ht="58" customHeight="true">
      <c r="A55" s="10"/>
      <c r="B55" s="9" t="s">
        <v>138</v>
      </c>
      <c r="C55" s="10" t="s">
        <v>137</v>
      </c>
      <c r="D55" s="10" t="s">
        <v>24</v>
      </c>
      <c r="E55" s="10" t="s">
        <v>26</v>
      </c>
      <c r="F55" s="12">
        <v>174</v>
      </c>
      <c r="G55" s="12">
        <v>286.92</v>
      </c>
      <c r="H55" s="11">
        <v>75</v>
      </c>
      <c r="I55" s="11">
        <v>34</v>
      </c>
      <c r="J55" s="11">
        <v>55</v>
      </c>
      <c r="K55" s="12" t="str">
        <f>=G55*J55</f>
      </c>
      <c r="L55" s="12" t="str">
        <f>=(G55-F55)*J55</f>
      </c>
      <c r="M55" s="13" t="str">
        <f>=IF(K55=0,0,L55/K55)</f>
      </c>
      <c r="N55" s="11" t="str">
        <f>=ROUNDUP(J55*1.8,0)</f>
      </c>
      <c r="O55" s="10" t="str">
        <f>=IF(I55&lt;N55,"需要补货","正常")</f>
      </c>
      <c r="P55" s="14">
        <v>4.1</v>
      </c>
      <c r="Q55" s="15">
        <v>45880</v>
      </c>
      <c r="R55" s="9" t="s">
        <v>37</v>
      </c>
    </row>
    <row r="56" ht="58" customHeight="true">
      <c r="A56" s="3"/>
      <c r="B56" s="2" t="s">
        <v>139</v>
      </c>
      <c r="C56" s="3" t="s">
        <v>140</v>
      </c>
      <c r="D56" s="3" t="s">
        <v>27</v>
      </c>
      <c r="E56" s="3" t="s">
        <v>28</v>
      </c>
      <c r="F56" s="5">
        <v>44</v>
      </c>
      <c r="G56" s="5">
        <v>93.52</v>
      </c>
      <c r="H56" s="4">
        <v>84</v>
      </c>
      <c r="I56" s="4">
        <v>47</v>
      </c>
      <c r="J56" s="4">
        <v>8</v>
      </c>
      <c r="K56" s="5" t="str">
        <f>=G56*J56</f>
      </c>
      <c r="L56" s="5" t="str">
        <f>=(G56-F56)*J56</f>
      </c>
      <c r="M56" s="6" t="str">
        <f>=IF(K56=0,0,L56/K56)</f>
      </c>
      <c r="N56" s="4" t="str">
        <f>=ROUNDUP(J56*1.8,0)</f>
      </c>
      <c r="O56" s="3" t="str">
        <f>=IF(I56&lt;N56,"需要补货","正常")</f>
      </c>
      <c r="P56" s="7">
        <v>4.3999999999999995</v>
      </c>
      <c r="Q56" s="8">
        <v>45875</v>
      </c>
      <c r="R56" s="2" t="s">
        <v>41</v>
      </c>
    </row>
    <row r="57" ht="58" customHeight="true">
      <c r="A57" s="10"/>
      <c r="B57" s="9" t="s">
        <v>141</v>
      </c>
      <c r="C57" s="10" t="s">
        <v>142</v>
      </c>
      <c r="D57" s="10" t="s">
        <v>34</v>
      </c>
      <c r="E57" s="10" t="s">
        <v>32</v>
      </c>
      <c r="F57" s="12">
        <v>69.5</v>
      </c>
      <c r="G57" s="12">
        <v>145.81</v>
      </c>
      <c r="H57" s="11">
        <v>93</v>
      </c>
      <c r="I57" s="11">
        <v>60</v>
      </c>
      <c r="J57" s="11">
        <v>15</v>
      </c>
      <c r="K57" s="12" t="str">
        <f>=G57*J57</f>
      </c>
      <c r="L57" s="12" t="str">
        <f>=(G57-F57)*J57</f>
      </c>
      <c r="M57" s="13" t="str">
        <f>=IF(K57=0,0,L57/K57)</f>
      </c>
      <c r="N57" s="11" t="str">
        <f>=ROUNDUP(J57*1.8,0)</f>
      </c>
      <c r="O57" s="10" t="str">
        <f>=IF(I57&lt;N57,"需要补货","正常")</f>
      </c>
      <c r="P57" s="14">
        <v>4.7</v>
      </c>
      <c r="Q57" s="15">
        <v>45870</v>
      </c>
      <c r="R57" s="9" t="s">
        <v>44</v>
      </c>
    </row>
    <row r="58" ht="58" customHeight="true">
      <c r="A58" s="3"/>
      <c r="B58" s="2" t="s">
        <v>143</v>
      </c>
      <c r="C58" s="3" t="s">
        <v>144</v>
      </c>
      <c r="D58" s="3" t="s">
        <v>20</v>
      </c>
      <c r="E58" s="3" t="s">
        <v>22</v>
      </c>
      <c r="F58" s="5">
        <v>95</v>
      </c>
      <c r="G58" s="5">
        <v>150.1</v>
      </c>
      <c r="H58" s="4">
        <v>102</v>
      </c>
      <c r="I58" s="4">
        <v>73</v>
      </c>
      <c r="J58" s="4">
        <v>22</v>
      </c>
      <c r="K58" s="5" t="str">
        <f>=G58*J58</f>
      </c>
      <c r="L58" s="5" t="str">
        <f>=(G58-F58)*J58</f>
      </c>
      <c r="M58" s="6" t="str">
        <f>=IF(K58=0,0,L58/K58)</f>
      </c>
      <c r="N58" s="4" t="str">
        <f>=ROUNDUP(J58*1.8,0)</f>
      </c>
      <c r="O58" s="3" t="str">
        <f>=IF(I58&lt;N58,"需要补货","正常")</f>
      </c>
      <c r="P58" s="7">
        <v>3.8</v>
      </c>
      <c r="Q58" s="8">
        <v>45865</v>
      </c>
      <c r="R58" s="2" t="s">
        <v>46</v>
      </c>
    </row>
    <row r="59" ht="58" customHeight="true">
      <c r="A59" s="10"/>
      <c r="B59" s="9" t="s">
        <v>145</v>
      </c>
      <c r="C59" s="10" t="s">
        <v>146</v>
      </c>
      <c r="D59" s="10" t="s">
        <v>24</v>
      </c>
      <c r="E59" s="10" t="s">
        <v>26</v>
      </c>
      <c r="F59" s="12">
        <v>95</v>
      </c>
      <c r="G59" s="12">
        <v>162.1</v>
      </c>
      <c r="H59" s="11">
        <v>111</v>
      </c>
      <c r="I59" s="11">
        <v>86</v>
      </c>
      <c r="J59" s="11">
        <v>29</v>
      </c>
      <c r="K59" s="12" t="str">
        <f>=G59*J59</f>
      </c>
      <c r="L59" s="12" t="str">
        <f>=(G59-F59)*J59</f>
      </c>
      <c r="M59" s="13" t="str">
        <f>=IF(K59=0,0,L59/K59)</f>
      </c>
      <c r="N59" s="11" t="str">
        <f>=ROUNDUP(J59*1.8,0)</f>
      </c>
      <c r="O59" s="10" t="str">
        <f>=IF(I59&lt;N59,"需要补货","正常")</f>
      </c>
      <c r="P59" s="14">
        <v>4.1</v>
      </c>
      <c r="Q59" s="15">
        <v>45860</v>
      </c>
      <c r="R59" s="9" t="s">
        <v>37</v>
      </c>
    </row>
    <row r="60" ht="58" customHeight="true">
      <c r="A60" s="3"/>
      <c r="B60" s="2" t="s">
        <v>147</v>
      </c>
      <c r="C60" s="3" t="s">
        <v>148</v>
      </c>
      <c r="D60" s="3" t="s">
        <v>27</v>
      </c>
      <c r="E60" s="3" t="s">
        <v>28</v>
      </c>
      <c r="F60" s="5">
        <v>120.5</v>
      </c>
      <c r="G60" s="5">
        <v>214.39</v>
      </c>
      <c r="H60" s="4">
        <v>120</v>
      </c>
      <c r="I60" s="4">
        <v>99</v>
      </c>
      <c r="J60" s="4">
        <v>36</v>
      </c>
      <c r="K60" s="5" t="str">
        <f>=G60*J60</f>
      </c>
      <c r="L60" s="5" t="str">
        <f>=(G60-F60)*J60</f>
      </c>
      <c r="M60" s="6" t="str">
        <f>=IF(K60=0,0,L60/K60)</f>
      </c>
      <c r="N60" s="4" t="str">
        <f>=ROUNDUP(J60*1.8,0)</f>
      </c>
      <c r="O60" s="3" t="str">
        <f>=IF(I60&lt;N60,"需要补货","正常")</f>
      </c>
      <c r="P60" s="7">
        <v>4.3999999999999995</v>
      </c>
      <c r="Q60" s="8">
        <v>45855</v>
      </c>
      <c r="R60" s="2" t="s">
        <v>41</v>
      </c>
    </row>
    <row r="61" ht="58" customHeight="true">
      <c r="A61" s="10"/>
      <c r="B61" s="9" t="s">
        <v>149</v>
      </c>
      <c r="C61" s="10" t="s">
        <v>150</v>
      </c>
      <c r="D61" s="10" t="s">
        <v>34</v>
      </c>
      <c r="E61" s="10" t="s">
        <v>32</v>
      </c>
      <c r="F61" s="12">
        <v>146</v>
      </c>
      <c r="G61" s="12">
        <v>266.68</v>
      </c>
      <c r="H61" s="11">
        <v>129</v>
      </c>
      <c r="I61" s="11">
        <v>17</v>
      </c>
      <c r="J61" s="11">
        <v>43</v>
      </c>
      <c r="K61" s="12" t="str">
        <f>=G61*J61</f>
      </c>
      <c r="L61" s="12" t="str">
        <f>=(G61-F61)*J61</f>
      </c>
      <c r="M61" s="13" t="str">
        <f>=IF(K61=0,0,L61/K61)</f>
      </c>
      <c r="N61" s="11" t="str">
        <f>=ROUNDUP(J61*1.8,0)</f>
      </c>
      <c r="O61" s="10" t="str">
        <f>=IF(I61&lt;N61,"需要补货","正常")</f>
      </c>
      <c r="P61" s="14">
        <v>4.7</v>
      </c>
      <c r="Q61" s="15">
        <v>45850</v>
      </c>
      <c r="R61" s="9" t="s">
        <v>44</v>
      </c>
    </row>
  </sheetData>
  <conditionalFormatting sqref="K2:K61">
    <cfRule type="dataBar" priority="1">
      <dataBar showValue="true">
        <cfvo type="min"/>
        <cfvo type="max"/>
        <color rgb="FF5B8DEF"/>
      </dataBar>
      <extLst>
        <ext xmlns:x14="http://schemas.microsoft.com/office/spreadsheetml/2009/9/main" uri="{B025F937-C7B1-47D3-B67F-A62EFF666E3E}">
          <x14:id>{00000000-0000-0000-0001-000000000000}</x14:id>
        </ext>
      </extLst>
    </cfRule>
  </conditionalFormatting>
  <conditionalFormatting sqref="M2:M61">
    <cfRule type="colorScale" priority="2">
      <colorScale>
        <cfvo type="min" val="0"/>
        <cfvo type="percentile" val="50"/>
        <cfvo type="max" val="0"/>
        <color rgb="FFF8696B"/>
        <color rgb="FFFFEB84"/>
        <color rgb="FF63BE7B"/>
      </colorScale>
    </cfRule>
  </conditionalFormatting>
  <conditionalFormatting sqref="O2:O61">
    <cfRule type="containsText" dxfId="0" priority="3" operator="containsText" text="需要补货">
      <formula>NOT(ISERROR(SEARCH("需要补货",O2)))</formula>
    </cfRule>
    <cfRule type="containsText" dxfId="1" priority="4" operator="containsText" text="正常">
      <formula>NOT(ISERROR(SEARCH("正常",O2)))</formula>
    </cfRule>
  </conditionalFormatting>
  <drawing r:id="rId1"/>
  <tableParts count="1">
    <tablePart r:id="rId2"/>
  </tableParts>
  <extLst>
    <ext uri="{78C0D931-6437-407d-A8EE-F0AAD7539E65}">
      <x14:conditionalFormattings>
        <x14:conditionalFormatting xmlns:xm="http://schemas.microsoft.com/office/excel/2006/main">
          <x14:cfRule type="dataBar" id="{00000000-0000-0000-0001-000000000000}">
            <x14:dataBar maxLength="100" minLength="0" border="false" gradient="false">
              <x14:cfvo type="autoMin"/>
              <x14:cfvo type="autoMax"/>
              <x14:negativeFillColor rgb="FFFF0000"/>
              <x14:axisColor rgb="FFFF0000"/>
            </x14:dataBar>
          </x14:cfRule>
        </x14:conditionalFormatting>
      </x14:conditionalFormattings>
    </ext>
  </extLst>
</worksheet>
</file>

<file path=xl/worksheets/sheet2.xml><?xml version="1.0" encoding="utf-8"?>
<worksheet xmlns="http://schemas.openxmlformats.org/spreadsheetml/2006/main">
  <dimension ref="A1"/>
  <sheetViews>
    <sheetView showGridLines="false" workbookViewId="0"/>
  </sheetViews>
  <cols>
    <col customWidth="true" max="1" min="1" width="18"/>
    <col customWidth="true" max="4" min="2" width="16"/>
  </cols>
  <sheetData>
    <row r="1">
      <c r="A1" s="16" t="s">
        <v>151</v>
      </c>
      <c r="B1" s="16"/>
      <c r="C1" s="16"/>
      <c r="D1" s="16"/>
    </row>
    <row r="2"/>
    <row r="3">
      <c r="A3" s="17" t="s">
        <v>152</v>
      </c>
      <c r="B3" s="18" t="str">
        <f>=COUNTA(商品清单!B2:B61)</f>
      </c>
    </row>
    <row r="4">
      <c r="A4" s="17" t="s">
        <v>153</v>
      </c>
      <c r="B4" s="19" t="str">
        <f>=SUM(商品清单!K2:K61)</f>
      </c>
    </row>
    <row r="5">
      <c r="A5" s="17" t="s">
        <v>154</v>
      </c>
      <c r="B5" s="19" t="str">
        <f>=SUM(商品清单!L2:L61)</f>
      </c>
    </row>
    <row r="6">
      <c r="A6" s="17" t="s">
        <v>155</v>
      </c>
      <c r="B6" s="20" t="str">
        <f>=AVERAGE(商品清单!M2:M61)</f>
      </c>
    </row>
    <row r="7">
      <c r="A7" s="17" t="s">
        <v>156</v>
      </c>
      <c r="B7" s="21" t="str">
        <f>=COUNTIF(商品清单!O2:O61,"需要补货")</f>
      </c>
    </row>
    <row r="8">
      <c r="A8" s="17" t="s">
        <v>157</v>
      </c>
      <c r="B8" s="18" t="str">
        <f>=AVERAGE(商品清单!P2:P61)</f>
      </c>
    </row>
    <row r="9"/>
    <row r="10"/>
    <row r="11">
      <c r="A11" s="1" t="s">
        <v>3</v>
      </c>
      <c r="B11" s="1" t="s">
        <v>158</v>
      </c>
      <c r="C11" s="1" t="s">
        <v>159</v>
      </c>
      <c r="D11" s="1" t="s">
        <v>157</v>
      </c>
    </row>
    <row r="12">
      <c r="A12" s="17" t="s">
        <v>20</v>
      </c>
      <c r="B12" s="19" t="str">
        <f>=SUMIF(商品清单!D2:D61,A12,商品清单!K2:K61)</f>
      </c>
      <c r="C12" s="19" t="str">
        <f>=SUMIF(商品清单!D2:D61,A12,商品清单!L2:L61)</f>
      </c>
      <c r="D12" s="18" t="str">
        <f>=AVERAGEIF(商品清单!D2:D61,A12,商品清单!P2:P61)</f>
      </c>
    </row>
    <row r="13">
      <c r="A13" s="17" t="s">
        <v>24</v>
      </c>
      <c r="B13" s="19" t="str">
        <f>=SUMIF(商品清单!D2:D61,A13,商品清单!K2:K61)</f>
      </c>
      <c r="C13" s="19" t="str">
        <f>=SUMIF(商品清单!D2:D61,A13,商品清单!L2:L61)</f>
      </c>
      <c r="D13" s="18" t="str">
        <f>=AVERAGEIF(商品清单!D2:D61,A13,商品清单!P2:P61)</f>
      </c>
    </row>
    <row r="14">
      <c r="A14" s="17" t="s">
        <v>27</v>
      </c>
      <c r="B14" s="19" t="str">
        <f>=SUMIF(商品清单!D2:D61,A14,商品清单!K2:K61)</f>
      </c>
      <c r="C14" s="19" t="str">
        <f>=SUMIF(商品清单!D2:D61,A14,商品清单!L2:L61)</f>
      </c>
      <c r="D14" s="18" t="str">
        <f>=AVERAGEIF(商品清单!D2:D61,A14,商品清单!P2:P61)</f>
      </c>
    </row>
    <row r="15">
      <c r="A15" s="17" t="s">
        <v>34</v>
      </c>
      <c r="B15" s="19" t="str">
        <f>=SUMIF(商品清单!D2:D61,A15,商品清单!K2:K61)</f>
      </c>
      <c r="C15" s="19" t="str">
        <f>=SUMIF(商品清单!D2:D61,A15,商品清单!L2:L61)</f>
      </c>
      <c r="D15" s="18" t="str">
        <f>=AVERAGEIF(商品清单!D2:D61,A15,商品清单!P2:P61)</f>
      </c>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