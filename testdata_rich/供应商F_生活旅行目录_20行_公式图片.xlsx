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gif" ContentType="image/gif"/>
  <Default Extension="emf" ContentType="image/x-emf"/>
  <Default Extension="wmz" ContentType="image/x-wmz"/>
  <Default Extension="png" ContentType="image/png"/>
  <Default Extension="svg" ContentType="image/svg"/>
  <Default Extension="tiff" ContentType="image/tiff"/>
  <Default Extension="wmf" ContentType="image/x-wmf"/>
  <Default Extension="emz" ContentType="image/x-e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商品清单" sheetId="1" r:id="rId1"/>
    <sheet name="汇总看板" sheetId="2" r:id="rId4"/>
  </sheets>
</workbook>
</file>

<file path=xl/sharedStrings.xml><?xml version="1.0" encoding="utf-8"?>
<sst xmlns="http://schemas.openxmlformats.org/spreadsheetml/2006/main" count="79" uniqueCount="79">
  <si>
    <t>产品图</t>
  </si>
  <si>
    <t>产品名称</t>
  </si>
  <si>
    <t>SKU</t>
  </si>
  <si>
    <t>品类</t>
  </si>
  <si>
    <t>单位</t>
  </si>
  <si>
    <t>供货价</t>
  </si>
  <si>
    <t>建议零售价</t>
  </si>
  <si>
    <t>采购量</t>
  </si>
  <si>
    <t>当前库存</t>
  </si>
  <si>
    <t>近7天销量</t>
  </si>
  <si>
    <t>预计销售额</t>
  </si>
  <si>
    <t>预计毛利</t>
  </si>
  <si>
    <t>毛利率</t>
  </si>
  <si>
    <t>安全库存</t>
  </si>
  <si>
    <t>补货建议</t>
  </si>
  <si>
    <t>评级</t>
  </si>
  <si>
    <t>上架日期</t>
  </si>
  <si>
    <t>备注</t>
  </si>
  <si>
    <t>收纳</t>
  </si>
  <si>
    <t>件</t>
  </si>
  <si>
    <t>新品首批</t>
  </si>
  <si>
    <t>压缩收纳袋</t>
  </si>
  <si>
    <t>LT-001</t>
  </si>
  <si>
    <t>旅行洗漱包</t>
  </si>
  <si>
    <t>LT-002</t>
  </si>
  <si>
    <t>清洁</t>
  </si>
  <si>
    <t>套</t>
  </si>
  <si>
    <t>热卖款</t>
  </si>
  <si>
    <t>便携挂烫机</t>
  </si>
  <si>
    <t>LT-003</t>
  </si>
  <si>
    <t>出行</t>
  </si>
  <si>
    <t>适合组合销售</t>
  </si>
  <si>
    <t>盒</t>
  </si>
  <si>
    <t>需关注库存</t>
  </si>
  <si>
    <t>LT-004</t>
  </si>
  <si>
    <t>台</t>
  </si>
  <si>
    <t>折叠烧水杯</t>
  </si>
  <si>
    <t>厨房</t>
  </si>
  <si>
    <t>分类药品盒</t>
  </si>
  <si>
    <t>LT-005</t>
  </si>
  <si>
    <t>防水证件夹</t>
  </si>
  <si>
    <t>LT-006</t>
  </si>
  <si>
    <t>LT-007</t>
  </si>
  <si>
    <t>快干毛巾套装</t>
  </si>
  <si>
    <t>迷你清洁刷</t>
  </si>
  <si>
    <t>LT-008</t>
  </si>
  <si>
    <t>LT-009</t>
  </si>
  <si>
    <t>便携餐具盒</t>
  </si>
  <si>
    <t>LT-010</t>
  </si>
  <si>
    <t>真空保鲜罐</t>
  </si>
  <si>
    <t>行李箱绑带</t>
  </si>
  <si>
    <t>LT-011</t>
  </si>
  <si>
    <t>LT-012</t>
  </si>
  <si>
    <t>多功能转换插头</t>
  </si>
  <si>
    <t>桌面收纳抽屉</t>
  </si>
  <si>
    <t>LT-013</t>
  </si>
  <si>
    <t>LT-014</t>
  </si>
  <si>
    <t>厨房密封夹</t>
  </si>
  <si>
    <t>便携电子秤</t>
  </si>
  <si>
    <t>LT-015</t>
  </si>
  <si>
    <t>旅行分装瓶</t>
  </si>
  <si>
    <t>LT-016</t>
  </si>
  <si>
    <t>鞋袋收纳组</t>
  </si>
  <si>
    <t>LT-017</t>
  </si>
  <si>
    <t>可折叠衣架</t>
  </si>
  <si>
    <t>LT-018</t>
  </si>
  <si>
    <t>LT-019</t>
  </si>
  <si>
    <t>防滑杯套</t>
  </si>
  <si>
    <t>LT-020</t>
  </si>
  <si>
    <t>手持封口机</t>
  </si>
  <si>
    <t>供应商F · 生活旅行 汇总看板</t>
  </si>
  <si>
    <t>商品数量</t>
  </si>
  <si>
    <t>总销售额</t>
  </si>
  <si>
    <t>总毛利</t>
  </si>
  <si>
    <t>平均毛利率</t>
  </si>
  <si>
    <t>需补货 SKU</t>
  </si>
  <si>
    <t>平均评级</t>
  </si>
  <si>
    <t>销售额</t>
  </si>
  <si>
    <t>毛利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</si>
</sst>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164" formatCode="0"/>
    <numFmt numFmtId="165" formatCode="¥#,##0.00"/>
    <numFmt numFmtId="166" formatCode="0.00%"/>
    <numFmt numFmtId="167" formatCode="0.0"/>
    <numFmt numFmtId="168" formatCode="yyyy-mm-dd"/>
  </numFmts>
  <fonts count="7">
    <font>
      <sz val="11"/>
      <color theme="1"/>
      <name val="Calibri"/>
      <family val="2"/>
    </font>
    <font>
      <b val="1"/>
      <sz val="10.5"/>
      <color rgb="FFFFFFFF"/>
      <name val="Calibri"/>
      <family val="2"/>
    </font>
    <font>
      <sz val="10"/>
      <color rgb="FF1F2933"/>
      <name val="Calibri"/>
      <family val="2"/>
    </font>
    <font>
      <b val="1"/>
      <sz val="16"/>
      <color rgb="FF12313F"/>
      <name val="Calibri"/>
      <family val="2"/>
    </font>
    <font>
      <b val="1"/>
      <sz val="10.5"/>
      <color rgb="FF244653"/>
      <name val="Calibri"/>
      <family val="2"/>
    </font>
    <font>
      <b val="1"/>
      <sz val="12"/>
      <color rgb="FF173B4A"/>
      <name val="Calibri"/>
      <family val="2"/>
    </font>
    <font>
      <b val="1"/>
      <sz val="12"/>
      <color rgb="FF9A3412"/>
      <name val="Calibri"/>
      <family val="2"/>
    </font>
  </fonts>
  <fills count="8">
    <fill>
      <patternFill patternType="none"/>
    </fill>
    <fill>
      <patternFill patternType="gray125"/>
    </fill>
    <fill>
      <patternFill patternType="solid">
        <fgColor rgb="FF1F4E5F"/>
      </patternFill>
    </fill>
    <fill>
      <patternFill patternType="solid">
        <fgColor rgb="FFFFFFFF"/>
      </patternFill>
    </fill>
    <fill>
      <patternFill patternType="solid">
        <fgColor rgb="FFF7FBFC"/>
      </patternFill>
    </fill>
    <fill>
      <patternFill patternType="solid">
        <fgColor rgb="FFDCEEF4"/>
      </patternFill>
    </fill>
    <fill>
      <patternFill patternType="solid">
        <fgColor rgb="FFEEF5F7"/>
      </patternFill>
    </fill>
    <fill>
      <patternFill patternType="solid">
        <fgColor rgb="FFFFF4D6"/>
      </patternFill>
    </fill>
  </fills>
  <borders count="5">
    <border>
      <left/>
      <right/>
      <top/>
      <bottom/>
      <diagonal/>
    </border>
    <border>
      <left style="thin">
        <color rgb="FFB7C9D3"/>
      </left>
      <right style="thin">
        <color rgb="FFB7C9D3"/>
      </right>
      <top style="thin">
        <color rgb="FFB7C9D3"/>
      </top>
      <bottom style="thin">
        <color rgb="FFB7C9D3"/>
      </bottom>
      <diagonal/>
    </border>
    <border>
      <left style="thin">
        <color rgb="FFDDE7EC"/>
      </left>
      <right style="thin">
        <color rgb="FFDDE7EC"/>
      </right>
      <top style="thin">
        <color rgb="FFDDE7EC"/>
      </top>
      <bottom style="thin">
        <color rgb="FFDDE7EC"/>
      </bottom>
      <diagonal/>
    </border>
    <border>
      <left style="thin">
        <color rgb="FFD5E0E6"/>
      </left>
      <right style="thin">
        <color rgb="FFD5E0E6"/>
      </right>
      <top style="thin">
        <color rgb="FFD5E0E6"/>
      </top>
      <bottom style="thin">
        <color rgb="FFD5E0E6"/>
      </bottom>
      <diagonal/>
    </border>
    <border>
      <left style="thin">
        <color rgb="FFEBCB8B"/>
      </left>
      <right style="thin">
        <color rgb="FFEBCB8B"/>
      </right>
      <top style="thin">
        <color rgb="FFEBCB8B"/>
      </top>
      <bottom style="thin">
        <color rgb="FFEBCB8B"/>
      </bottom>
      <diagonal/>
    </border>
  </borders>
  <cellStyleXfs count="1">
    <xf numFmtId="0" fontId="0" fillId="0" borderId="0"/>
  </cellStyleXfs>
  <cellXfs count="23">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164" fontId="2" fillId="3" borderId="2" xfId="0" applyNumberFormat="true" applyFont="true" applyFill="true" applyBorder="true" applyAlignment="true">
      <alignment horizontal="center" vertical="center"/>
    </xf>
    <xf numFmtId="165" fontId="2" fillId="3" borderId="2" xfId="0" applyNumberFormat="true" applyFont="true" applyFill="true" applyBorder="true" applyAlignment="true">
      <alignment horizontal="right" vertical="center"/>
    </xf>
    <xf numFmtId="166" fontId="2" fillId="3" borderId="2" xfId="0" applyNumberFormat="true" applyFont="true" applyFill="true" applyBorder="true" applyAlignment="true">
      <alignment horizontal="right" vertical="center"/>
    </xf>
    <xf numFmtId="167" fontId="2" fillId="3" borderId="2" xfId="0" applyNumberFormat="true" applyFont="true" applyFill="true" applyBorder="true" applyAlignment="true">
      <alignment horizontal="center" vertical="center"/>
    </xf>
    <xf numFmtId="168" fontId="2" fillId="3" borderId="2" xfId="0" applyNumberFormat="true" applyFont="true" applyFill="true" applyBorder="true" applyAlignment="true">
      <alignment horizontal="center" vertical="center"/>
    </xf>
    <xf numFmtId="0" fontId="2" fillId="4" borderId="2" xfId="0" applyFont="true" applyFill="true" applyBorder="true" applyAlignment="true">
      <alignment horizontal="left" vertical="center" wrapText="true"/>
    </xf>
    <xf numFmtId="0" fontId="2" fillId="4" borderId="2" xfId="0" applyFont="true" applyFill="true" applyBorder="true" applyAlignment="true">
      <alignment horizontal="center" vertical="center" wrapText="true"/>
    </xf>
    <xf numFmtId="164" fontId="2" fillId="4" borderId="2" xfId="0" applyNumberFormat="true" applyFont="true" applyFill="true" applyBorder="true" applyAlignment="true">
      <alignment horizontal="center" vertical="center"/>
    </xf>
    <xf numFmtId="165" fontId="2" fillId="4" borderId="2" xfId="0" applyNumberFormat="true" applyFont="true" applyFill="true" applyBorder="true" applyAlignment="true">
      <alignment horizontal="right" vertical="center"/>
    </xf>
    <xf numFmtId="166" fontId="2" fillId="4" borderId="2" xfId="0" applyNumberFormat="true" applyFont="true" applyFill="true" applyBorder="true" applyAlignment="true">
      <alignment horizontal="right" vertical="center"/>
    </xf>
    <xf numFmtId="167" fontId="2" fillId="4" borderId="2" xfId="0" applyNumberFormat="true" applyFont="true" applyFill="true" applyBorder="true" applyAlignment="true">
      <alignment horizontal="center" vertical="center"/>
    </xf>
    <xf numFmtId="168" fontId="2" fillId="4" borderId="2" xfId="0" applyNumberFormat="true" applyFont="true" applyFill="true" applyBorder="true" applyAlignment="true">
      <alignment horizontal="center" vertical="center"/>
    </xf>
    <xf numFmtId="0" fontId="3" fillId="5" borderId="1" xfId="0" applyFont="true" applyFill="true" applyBorder="true" applyAlignment="true">
      <alignment horizontal="left" vertical="center"/>
    </xf>
    <xf numFmtId="0" fontId="4" fillId="6" borderId="3" xfId="0" applyFont="true" applyFill="true" applyBorder="true" applyAlignment="true">
      <alignment horizontal="left" vertical="center"/>
    </xf>
    <xf numFmtId="167" fontId="5" fillId="3" borderId="3" xfId="0" applyNumberFormat="true" applyFont="true" applyFill="true" applyBorder="true" applyAlignment="true">
      <alignment horizontal="center" vertical="center"/>
    </xf>
    <xf numFmtId="165" fontId="5" fillId="3" borderId="3" xfId="0" applyNumberFormat="true" applyFont="true" applyFill="true" applyBorder="true" applyAlignment="true">
      <alignment horizontal="center" vertical="center"/>
    </xf>
    <xf numFmtId="166" fontId="5" fillId="3" borderId="3" xfId="0" applyNumberFormat="true" applyFont="true" applyFill="true" applyBorder="true" applyAlignment="true">
      <alignment horizontal="center" vertical="center"/>
    </xf>
    <xf numFmtId="164" fontId="6" fillId="7" borderId="4" xfId="0" applyNumberFormat="true" applyFont="true" applyFill="true" applyBorder="true" applyAlignment="true">
      <alignment horizontal="center" vertical="center"/>
    </xf>
    <xf numFmtId="14" fontId="0" fillId="0" borderId="0" xfId="0" applyNumberFormat="true" applyAlignment="false">
      <alignment/>
    </xf>
  </cellXfs>
  <cellStyles count="1">
    <cellStyle name="Normal" xfId="0" builtinId="0"/>
  </cellStyles>
  <dxfs count="2">
    <dxf>
      <font>
        <b val="1"/>
        <sz val="11"/>
        <color rgb="FF9A0511"/>
        <name val="Calibri"/>
        <family val="2"/>
      </font>
      <fill>
        <patternFill patternType="solid">
          <bgColor rgb="FFF9D6D5"/>
        </patternFill>
      </fill>
    </dxf>
    <dxf>
      <font>
        <b val="1"/>
        <sz val="11"/>
        <color rgb="FF14532D"/>
        <name val="Calibri"/>
        <family val="2"/>
      </font>
      <fill>
        <patternFill patternType="solid">
          <bgColor rgb="FFDDF7E8"/>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0</xdr:col>
      <xdr:colOff>28575</xdr:colOff>
      <xdr:row>1</xdr:row>
      <xdr:rowOff>28575</xdr:rowOff>
    </xdr:from>
    <xdr:to>
      <xdr:col>1</xdr:col>
      <xdr:colOff>0</xdr:colOff>
      <xdr:row>1</xdr:row>
      <xdr:rowOff>647700</xdr:rowOff>
    </xdr:to>
    <xdr:pic>
      <xdr:nvPicPr>
        <xdr:cNvPr id="2" name="Picture 2" descr="压缩收纳袋"/>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2</xdr:row>
      <xdr:rowOff>28575</xdr:rowOff>
    </xdr:from>
    <xdr:to>
      <xdr:col>1</xdr:col>
      <xdr:colOff>0</xdr:colOff>
      <xdr:row>2</xdr:row>
      <xdr:rowOff>647700</xdr:rowOff>
    </xdr:to>
    <xdr:pic>
      <xdr:nvPicPr>
        <xdr:cNvPr id="3" name="Picture 3" descr="旅行洗漱包"/>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xdr:row>
      <xdr:rowOff>28575</xdr:rowOff>
    </xdr:from>
    <xdr:to>
      <xdr:col>1</xdr:col>
      <xdr:colOff>0</xdr:colOff>
      <xdr:row>3</xdr:row>
      <xdr:rowOff>647700</xdr:rowOff>
    </xdr:to>
    <xdr:pic>
      <xdr:nvPicPr>
        <xdr:cNvPr id="4" name="Picture 4" descr="便携挂烫机"/>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xdr:row>
      <xdr:rowOff>28575</xdr:rowOff>
    </xdr:from>
    <xdr:to>
      <xdr:col>1</xdr:col>
      <xdr:colOff>0</xdr:colOff>
      <xdr:row>4</xdr:row>
      <xdr:rowOff>647700</xdr:rowOff>
    </xdr:to>
    <xdr:pic>
      <xdr:nvPicPr>
        <xdr:cNvPr id="5" name="Picture 5" descr="折叠烧水杯"/>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5</xdr:row>
      <xdr:rowOff>28575</xdr:rowOff>
    </xdr:from>
    <xdr:to>
      <xdr:col>1</xdr:col>
      <xdr:colOff>0</xdr:colOff>
      <xdr:row>5</xdr:row>
      <xdr:rowOff>647700</xdr:rowOff>
    </xdr:to>
    <xdr:pic>
      <xdr:nvPicPr>
        <xdr:cNvPr id="6" name="Picture 6" descr="分类药品盒"/>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6</xdr:row>
      <xdr:rowOff>28575</xdr:rowOff>
    </xdr:from>
    <xdr:to>
      <xdr:col>1</xdr:col>
      <xdr:colOff>0</xdr:colOff>
      <xdr:row>6</xdr:row>
      <xdr:rowOff>647700</xdr:rowOff>
    </xdr:to>
    <xdr:pic>
      <xdr:nvPicPr>
        <xdr:cNvPr id="7" name="Picture 7" descr="防水证件夹"/>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7</xdr:row>
      <xdr:rowOff>28575</xdr:rowOff>
    </xdr:from>
    <xdr:to>
      <xdr:col>1</xdr:col>
      <xdr:colOff>0</xdr:colOff>
      <xdr:row>7</xdr:row>
      <xdr:rowOff>647700</xdr:rowOff>
    </xdr:to>
    <xdr:pic>
      <xdr:nvPicPr>
        <xdr:cNvPr id="8" name="Picture 8" descr="快干毛巾套装"/>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8</xdr:row>
      <xdr:rowOff>28575</xdr:rowOff>
    </xdr:from>
    <xdr:to>
      <xdr:col>1</xdr:col>
      <xdr:colOff>0</xdr:colOff>
      <xdr:row>8</xdr:row>
      <xdr:rowOff>647700</xdr:rowOff>
    </xdr:to>
    <xdr:pic>
      <xdr:nvPicPr>
        <xdr:cNvPr id="9" name="Picture 9" descr="迷你清洁刷"/>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9</xdr:row>
      <xdr:rowOff>28575</xdr:rowOff>
    </xdr:from>
    <xdr:to>
      <xdr:col>1</xdr:col>
      <xdr:colOff>0</xdr:colOff>
      <xdr:row>9</xdr:row>
      <xdr:rowOff>647700</xdr:rowOff>
    </xdr:to>
    <xdr:pic>
      <xdr:nvPicPr>
        <xdr:cNvPr id="10" name="Picture 10" descr="便携餐具盒"/>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10</xdr:row>
      <xdr:rowOff>28575</xdr:rowOff>
    </xdr:from>
    <xdr:to>
      <xdr:col>1</xdr:col>
      <xdr:colOff>0</xdr:colOff>
      <xdr:row>10</xdr:row>
      <xdr:rowOff>647700</xdr:rowOff>
    </xdr:to>
    <xdr:pic>
      <xdr:nvPicPr>
        <xdr:cNvPr id="11" name="Picture 11" descr="真空保鲜罐"/>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11</xdr:row>
      <xdr:rowOff>28575</xdr:rowOff>
    </xdr:from>
    <xdr:to>
      <xdr:col>1</xdr:col>
      <xdr:colOff>0</xdr:colOff>
      <xdr:row>11</xdr:row>
      <xdr:rowOff>647700</xdr:rowOff>
    </xdr:to>
    <xdr:pic>
      <xdr:nvPicPr>
        <xdr:cNvPr id="12" name="Picture 12" descr="行李箱绑带"/>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12</xdr:row>
      <xdr:rowOff>28575</xdr:rowOff>
    </xdr:from>
    <xdr:to>
      <xdr:col>1</xdr:col>
      <xdr:colOff>0</xdr:colOff>
      <xdr:row>12</xdr:row>
      <xdr:rowOff>647700</xdr:rowOff>
    </xdr:to>
    <xdr:pic>
      <xdr:nvPicPr>
        <xdr:cNvPr id="13" name="Picture 13" descr="多功能转换插头"/>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13</xdr:row>
      <xdr:rowOff>28575</xdr:rowOff>
    </xdr:from>
    <xdr:to>
      <xdr:col>1</xdr:col>
      <xdr:colOff>0</xdr:colOff>
      <xdr:row>13</xdr:row>
      <xdr:rowOff>647700</xdr:rowOff>
    </xdr:to>
    <xdr:pic>
      <xdr:nvPicPr>
        <xdr:cNvPr id="14" name="Picture 14" descr="桌面收纳抽屉"/>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14</xdr:row>
      <xdr:rowOff>28575</xdr:rowOff>
    </xdr:from>
    <xdr:to>
      <xdr:col>1</xdr:col>
      <xdr:colOff>0</xdr:colOff>
      <xdr:row>14</xdr:row>
      <xdr:rowOff>647700</xdr:rowOff>
    </xdr:to>
    <xdr:pic>
      <xdr:nvPicPr>
        <xdr:cNvPr id="15" name="Picture 15" descr="厨房密封夹"/>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15</xdr:row>
      <xdr:rowOff>28575</xdr:rowOff>
    </xdr:from>
    <xdr:to>
      <xdr:col>1</xdr:col>
      <xdr:colOff>0</xdr:colOff>
      <xdr:row>15</xdr:row>
      <xdr:rowOff>647700</xdr:rowOff>
    </xdr:to>
    <xdr:pic>
      <xdr:nvPicPr>
        <xdr:cNvPr id="16" name="Picture 16" descr="便携电子秤"/>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16</xdr:row>
      <xdr:rowOff>28575</xdr:rowOff>
    </xdr:from>
    <xdr:to>
      <xdr:col>1</xdr:col>
      <xdr:colOff>0</xdr:colOff>
      <xdr:row>16</xdr:row>
      <xdr:rowOff>647700</xdr:rowOff>
    </xdr:to>
    <xdr:pic>
      <xdr:nvPicPr>
        <xdr:cNvPr id="17" name="Picture 17" descr="旅行分装瓶"/>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17</xdr:row>
      <xdr:rowOff>28575</xdr:rowOff>
    </xdr:from>
    <xdr:to>
      <xdr:col>1</xdr:col>
      <xdr:colOff>0</xdr:colOff>
      <xdr:row>17</xdr:row>
      <xdr:rowOff>647700</xdr:rowOff>
    </xdr:to>
    <xdr:pic>
      <xdr:nvPicPr>
        <xdr:cNvPr id="18" name="Picture 18" descr="鞋袋收纳组"/>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18</xdr:row>
      <xdr:rowOff>28575</xdr:rowOff>
    </xdr:from>
    <xdr:to>
      <xdr:col>1</xdr:col>
      <xdr:colOff>0</xdr:colOff>
      <xdr:row>18</xdr:row>
      <xdr:rowOff>647700</xdr:rowOff>
    </xdr:to>
    <xdr:pic>
      <xdr:nvPicPr>
        <xdr:cNvPr id="19" name="Picture 19" descr="可折叠衣架"/>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19</xdr:row>
      <xdr:rowOff>28575</xdr:rowOff>
    </xdr:from>
    <xdr:to>
      <xdr:col>1</xdr:col>
      <xdr:colOff>0</xdr:colOff>
      <xdr:row>19</xdr:row>
      <xdr:rowOff>647700</xdr:rowOff>
    </xdr:to>
    <xdr:pic>
      <xdr:nvPicPr>
        <xdr:cNvPr id="20" name="Picture 20" descr="防滑杯套"/>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20</xdr:row>
      <xdr:rowOff>28575</xdr:rowOff>
    </xdr:from>
    <xdr:to>
      <xdr:col>1</xdr:col>
      <xdr:colOff>0</xdr:colOff>
      <xdr:row>20</xdr:row>
      <xdr:rowOff>647700</xdr:rowOff>
    </xdr:to>
    <xdr:pic>
      <xdr:nvPicPr>
        <xdr:cNvPr id="21" name="Picture 21" descr="手持封口机"/>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wsDr>
</file>

<file path=xl/tables/table1.xml><?xml version="1.0" encoding="utf-8"?>
<table xmlns="http://schemas.openxmlformats.org/spreadsheetml/2006/main" id="1" name="tbl_life_travel" displayName="tbl_life_travel" ref="A1:R21">
  <autoFilter ref="A1:R21"/>
  <tableColumns count="18">
    <tableColumn id="1" name="产品图"/>
    <tableColumn id="2" name="产品名称"/>
    <tableColumn id="3" name="SKU"/>
    <tableColumn id="4" name="品类"/>
    <tableColumn id="5" name="单位"/>
    <tableColumn id="6" name="供货价"/>
    <tableColumn id="7" name="建议零售价"/>
    <tableColumn id="8" name="采购量"/>
    <tableColumn id="9" name="当前库存"/>
    <tableColumn id="10" name="近7天销量"/>
    <tableColumn id="11" name="预计销售额"/>
    <tableColumn id="12" name="预计毛利"/>
    <tableColumn id="13" name="毛利率"/>
    <tableColumn id="14" name="安全库存"/>
    <tableColumn id="15" name="补货建议"/>
    <tableColumn id="16" name="评级"/>
    <tableColumn id="17" name="上架日期"/>
    <tableColumn id="18" name="备注"/>
  </tableColumns>
  <tableStyleInfo name="TableStyleMedium4" showFirstColumn="true" showLastColumn="tru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 Id="rId2"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xmlns:x14="http://schemas.microsoft.com/office/spreadsheetml/2009/9/main" xmlns:mc="http://schemas.openxmlformats.org/markup-compatibility/2006" mc:Ignorable="x14">
  <dimension ref="A1"/>
  <sheetViews>
    <sheetView showGridLines="false" tabSelected="true" workbookViewId="0">
      <pane activePane="bottomRight" state="frozen" topLeftCell="C2" xSplit="2" ySplit="1"/>
      <selection activeCell="C2" pane="bottomRight" sqref="C2"/>
    </sheetView>
  </sheetViews>
  <sheetFormatPr defaultRowHeight="15"/>
  <cols>
    <col customWidth="true" max="1" min="1" width="15"/>
    <col customWidth="true" max="2" min="2" width="22"/>
    <col customWidth="true" max="3" min="3" width="15"/>
    <col customWidth="true" max="4" min="4" width="13"/>
    <col customWidth="true" max="5" min="5" width="8"/>
    <col customWidth="true" max="6" min="6" width="11"/>
    <col customWidth="true" max="7" min="7" width="12"/>
    <col customWidth="true" max="9" min="8" width="10"/>
    <col customWidth="true" max="10" min="10" width="11"/>
    <col customWidth="true" max="12" min="11" width="13"/>
    <col customWidth="true" max="14" min="13" width="10"/>
    <col customWidth="true" max="15" min="15" width="11"/>
    <col customWidth="true" max="16" min="16" width="8"/>
    <col customWidth="true" max="17" min="17" width="12"/>
    <col customWidth="true" max="18" min="18" width="24"/>
  </cols>
  <sheetData>
    <row r="1" ht="28"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58" customHeight="true">
      <c r="A2" s="3"/>
      <c r="B2" s="2" t="s">
        <v>21</v>
      </c>
      <c r="C2" s="3" t="s">
        <v>22</v>
      </c>
      <c r="D2" s="3" t="s">
        <v>18</v>
      </c>
      <c r="E2" s="3" t="s">
        <v>19</v>
      </c>
      <c r="F2" s="5">
        <v>36</v>
      </c>
      <c r="G2" s="5">
        <v>56.88</v>
      </c>
      <c r="H2" s="4">
        <v>48</v>
      </c>
      <c r="I2" s="4">
        <v>10</v>
      </c>
      <c r="J2" s="4">
        <v>8</v>
      </c>
      <c r="K2" s="5" t="str">
        <f>=G2*J2</f>
      </c>
      <c r="L2" s="5" t="str">
        <f>=(G2-F2)*J2</f>
      </c>
      <c r="M2" s="6" t="str">
        <f>=IF(K2=0,0,L2/K2)</f>
      </c>
      <c r="N2" s="4" t="str">
        <f>=ROUNDUP(J2*1.8,0)</f>
      </c>
      <c r="O2" s="3" t="str">
        <f>=IF(I2&lt;N2,"需要补货","正常")</f>
      </c>
      <c r="P2" s="7">
        <v>3.8</v>
      </c>
      <c r="Q2" s="8">
        <v>46145</v>
      </c>
      <c r="R2" s="2" t="s">
        <v>20</v>
      </c>
    </row>
    <row r="3" ht="58" customHeight="true">
      <c r="A3" s="10"/>
      <c r="B3" s="9" t="s">
        <v>23</v>
      </c>
      <c r="C3" s="10" t="s">
        <v>24</v>
      </c>
      <c r="D3" s="10" t="s">
        <v>25</v>
      </c>
      <c r="E3" s="10" t="s">
        <v>26</v>
      </c>
      <c r="F3" s="12">
        <v>61.5</v>
      </c>
      <c r="G3" s="12">
        <v>109.17</v>
      </c>
      <c r="H3" s="11">
        <v>57</v>
      </c>
      <c r="I3" s="11">
        <v>23</v>
      </c>
      <c r="J3" s="11">
        <v>15</v>
      </c>
      <c r="K3" s="12" t="str">
        <f>=G3*J3</f>
      </c>
      <c r="L3" s="12" t="str">
        <f>=(G3-F3)*J3</f>
      </c>
      <c r="M3" s="13" t="str">
        <f>=IF(K3=0,0,L3/K3)</f>
      </c>
      <c r="N3" s="11" t="str">
        <f>=ROUNDUP(J3*1.8,0)</f>
      </c>
      <c r="O3" s="10" t="str">
        <f>=IF(I3&lt;N3,"需要补货","正常")</f>
      </c>
      <c r="P3" s="14">
        <v>4.1</v>
      </c>
      <c r="Q3" s="15">
        <v>46140</v>
      </c>
      <c r="R3" s="9" t="s">
        <v>27</v>
      </c>
    </row>
    <row r="4" ht="58" customHeight="true">
      <c r="A4" s="3"/>
      <c r="B4" s="2" t="s">
        <v>28</v>
      </c>
      <c r="C4" s="3" t="s">
        <v>29</v>
      </c>
      <c r="D4" s="3" t="s">
        <v>30</v>
      </c>
      <c r="E4" s="3" t="s">
        <v>32</v>
      </c>
      <c r="F4" s="5">
        <v>87</v>
      </c>
      <c r="G4" s="5">
        <v>161.46</v>
      </c>
      <c r="H4" s="4">
        <v>66</v>
      </c>
      <c r="I4" s="4">
        <v>36</v>
      </c>
      <c r="J4" s="4">
        <v>22</v>
      </c>
      <c r="K4" s="5" t="str">
        <f>=G4*J4</f>
      </c>
      <c r="L4" s="5" t="str">
        <f>=(G4-F4)*J4</f>
      </c>
      <c r="M4" s="6" t="str">
        <f>=IF(K4=0,0,L4/K4)</f>
      </c>
      <c r="N4" s="4" t="str">
        <f>=ROUNDUP(J4*1.8,0)</f>
      </c>
      <c r="O4" s="3" t="str">
        <f>=IF(I4&lt;N4,"需要补货","正常")</f>
      </c>
      <c r="P4" s="7">
        <v>4.3999999999999995</v>
      </c>
      <c r="Q4" s="8">
        <v>46135</v>
      </c>
      <c r="R4" s="2" t="s">
        <v>31</v>
      </c>
    </row>
    <row r="5" ht="58" customHeight="true">
      <c r="A5" s="10"/>
      <c r="B5" s="9" t="s">
        <v>36</v>
      </c>
      <c r="C5" s="10" t="s">
        <v>34</v>
      </c>
      <c r="D5" s="10" t="s">
        <v>37</v>
      </c>
      <c r="E5" s="10" t="s">
        <v>35</v>
      </c>
      <c r="F5" s="12">
        <v>87</v>
      </c>
      <c r="G5" s="12">
        <v>173.46</v>
      </c>
      <c r="H5" s="11">
        <v>75</v>
      </c>
      <c r="I5" s="11">
        <v>49</v>
      </c>
      <c r="J5" s="11">
        <v>29</v>
      </c>
      <c r="K5" s="12" t="str">
        <f>=G5*J5</f>
      </c>
      <c r="L5" s="12" t="str">
        <f>=(G5-F5)*J5</f>
      </c>
      <c r="M5" s="13" t="str">
        <f>=IF(K5=0,0,L5/K5)</f>
      </c>
      <c r="N5" s="11" t="str">
        <f>=ROUNDUP(J5*1.8,0)</f>
      </c>
      <c r="O5" s="10" t="str">
        <f>=IF(I5&lt;N5,"需要补货","正常")</f>
      </c>
      <c r="P5" s="14">
        <v>4.7</v>
      </c>
      <c r="Q5" s="15">
        <v>46130</v>
      </c>
      <c r="R5" s="9" t="s">
        <v>33</v>
      </c>
    </row>
    <row r="6" ht="58" customHeight="true">
      <c r="A6" s="3"/>
      <c r="B6" s="2" t="s">
        <v>38</v>
      </c>
      <c r="C6" s="3" t="s">
        <v>39</v>
      </c>
      <c r="D6" s="3" t="s">
        <v>18</v>
      </c>
      <c r="E6" s="3" t="s">
        <v>19</v>
      </c>
      <c r="F6" s="5">
        <v>112.5</v>
      </c>
      <c r="G6" s="5">
        <v>177.75</v>
      </c>
      <c r="H6" s="4">
        <v>84</v>
      </c>
      <c r="I6" s="4">
        <v>62</v>
      </c>
      <c r="J6" s="4">
        <v>36</v>
      </c>
      <c r="K6" s="5" t="str">
        <f>=G6*J6</f>
      </c>
      <c r="L6" s="5" t="str">
        <f>=(G6-F6)*J6</f>
      </c>
      <c r="M6" s="6" t="str">
        <f>=IF(K6=0,0,L6/K6)</f>
      </c>
      <c r="N6" s="4" t="str">
        <f>=ROUNDUP(J6*1.8,0)</f>
      </c>
      <c r="O6" s="3" t="str">
        <f>=IF(I6&lt;N6,"需要补货","正常")</f>
      </c>
      <c r="P6" s="7">
        <v>3.8</v>
      </c>
      <c r="Q6" s="8">
        <v>46125</v>
      </c>
      <c r="R6" s="2" t="s">
        <v>20</v>
      </c>
    </row>
    <row r="7" ht="58" customHeight="true">
      <c r="A7" s="10"/>
      <c r="B7" s="9" t="s">
        <v>40</v>
      </c>
      <c r="C7" s="10" t="s">
        <v>41</v>
      </c>
      <c r="D7" s="10" t="s">
        <v>25</v>
      </c>
      <c r="E7" s="10" t="s">
        <v>26</v>
      </c>
      <c r="F7" s="12">
        <v>138</v>
      </c>
      <c r="G7" s="12">
        <v>230.04</v>
      </c>
      <c r="H7" s="11">
        <v>93</v>
      </c>
      <c r="I7" s="11">
        <v>75</v>
      </c>
      <c r="J7" s="11">
        <v>43</v>
      </c>
      <c r="K7" s="12" t="str">
        <f>=G7*J7</f>
      </c>
      <c r="L7" s="12" t="str">
        <f>=(G7-F7)*J7</f>
      </c>
      <c r="M7" s="13" t="str">
        <f>=IF(K7=0,0,L7/K7)</f>
      </c>
      <c r="N7" s="11" t="str">
        <f>=ROUNDUP(J7*1.8,0)</f>
      </c>
      <c r="O7" s="10" t="str">
        <f>=IF(I7&lt;N7,"需要补货","正常")</f>
      </c>
      <c r="P7" s="14">
        <v>4.1</v>
      </c>
      <c r="Q7" s="15">
        <v>46120</v>
      </c>
      <c r="R7" s="9" t="s">
        <v>27</v>
      </c>
    </row>
    <row r="8" ht="58" customHeight="true">
      <c r="A8" s="3"/>
      <c r="B8" s="2" t="s">
        <v>43</v>
      </c>
      <c r="C8" s="3" t="s">
        <v>42</v>
      </c>
      <c r="D8" s="3" t="s">
        <v>30</v>
      </c>
      <c r="E8" s="3" t="s">
        <v>32</v>
      </c>
      <c r="F8" s="5">
        <v>138</v>
      </c>
      <c r="G8" s="5">
        <v>242.04</v>
      </c>
      <c r="H8" s="4">
        <v>102</v>
      </c>
      <c r="I8" s="4">
        <v>88</v>
      </c>
      <c r="J8" s="4">
        <v>50</v>
      </c>
      <c r="K8" s="5" t="str">
        <f>=G8*J8</f>
      </c>
      <c r="L8" s="5" t="str">
        <f>=(G8-F8)*J8</f>
      </c>
      <c r="M8" s="6" t="str">
        <f>=IF(K8=0,0,L8/K8)</f>
      </c>
      <c r="N8" s="4" t="str">
        <f>=ROUNDUP(J8*1.8,0)</f>
      </c>
      <c r="O8" s="3" t="str">
        <f>=IF(I8&lt;N8,"需要补货","正常")</f>
      </c>
      <c r="P8" s="7">
        <v>4.3999999999999995</v>
      </c>
      <c r="Q8" s="8">
        <v>46115</v>
      </c>
      <c r="R8" s="2" t="s">
        <v>31</v>
      </c>
    </row>
    <row r="9" ht="58" customHeight="true">
      <c r="A9" s="10"/>
      <c r="B9" s="9" t="s">
        <v>44</v>
      </c>
      <c r="C9" s="10" t="s">
        <v>45</v>
      </c>
      <c r="D9" s="10" t="s">
        <v>37</v>
      </c>
      <c r="E9" s="10" t="s">
        <v>35</v>
      </c>
      <c r="F9" s="12">
        <v>163.5</v>
      </c>
      <c r="G9" s="12">
        <v>294.33</v>
      </c>
      <c r="H9" s="11">
        <v>111</v>
      </c>
      <c r="I9" s="11">
        <v>101</v>
      </c>
      <c r="J9" s="11">
        <v>57</v>
      </c>
      <c r="K9" s="12" t="str">
        <f>=G9*J9</f>
      </c>
      <c r="L9" s="12" t="str">
        <f>=(G9-F9)*J9</f>
      </c>
      <c r="M9" s="13" t="str">
        <f>=IF(K9=0,0,L9/K9)</f>
      </c>
      <c r="N9" s="11" t="str">
        <f>=ROUNDUP(J9*1.8,0)</f>
      </c>
      <c r="O9" s="10" t="str">
        <f>=IF(I9&lt;N9,"需要补货","正常")</f>
      </c>
      <c r="P9" s="14">
        <v>4.7</v>
      </c>
      <c r="Q9" s="15">
        <v>46110</v>
      </c>
      <c r="R9" s="9" t="s">
        <v>33</v>
      </c>
    </row>
    <row r="10" ht="58" customHeight="true">
      <c r="A10" s="3"/>
      <c r="B10" s="2" t="s">
        <v>47</v>
      </c>
      <c r="C10" s="3" t="s">
        <v>46</v>
      </c>
      <c r="D10" s="3" t="s">
        <v>18</v>
      </c>
      <c r="E10" s="3" t="s">
        <v>19</v>
      </c>
      <c r="F10" s="5">
        <v>59</v>
      </c>
      <c r="G10" s="5">
        <v>93.22</v>
      </c>
      <c r="H10" s="4">
        <v>120</v>
      </c>
      <c r="I10" s="4">
        <v>19</v>
      </c>
      <c r="J10" s="4">
        <v>10</v>
      </c>
      <c r="K10" s="5" t="str">
        <f>=G10*J10</f>
      </c>
      <c r="L10" s="5" t="str">
        <f>=(G10-F10)*J10</f>
      </c>
      <c r="M10" s="6" t="str">
        <f>=IF(K10=0,0,L10/K10)</f>
      </c>
      <c r="N10" s="4" t="str">
        <f>=ROUNDUP(J10*1.8,0)</f>
      </c>
      <c r="O10" s="3" t="str">
        <f>=IF(I10&lt;N10,"需要补货","正常")</f>
      </c>
      <c r="P10" s="7">
        <v>3.8</v>
      </c>
      <c r="Q10" s="8">
        <v>46105</v>
      </c>
      <c r="R10" s="2" t="s">
        <v>20</v>
      </c>
    </row>
    <row r="11" ht="58" customHeight="true">
      <c r="A11" s="10"/>
      <c r="B11" s="9" t="s">
        <v>49</v>
      </c>
      <c r="C11" s="10" t="s">
        <v>48</v>
      </c>
      <c r="D11" s="10" t="s">
        <v>25</v>
      </c>
      <c r="E11" s="10" t="s">
        <v>26</v>
      </c>
      <c r="F11" s="12">
        <v>59</v>
      </c>
      <c r="G11" s="12">
        <v>105.22</v>
      </c>
      <c r="H11" s="11">
        <v>129</v>
      </c>
      <c r="I11" s="11">
        <v>32</v>
      </c>
      <c r="J11" s="11">
        <v>17</v>
      </c>
      <c r="K11" s="12" t="str">
        <f>=G11*J11</f>
      </c>
      <c r="L11" s="12" t="str">
        <f>=(G11-F11)*J11</f>
      </c>
      <c r="M11" s="13" t="str">
        <f>=IF(K11=0,0,L11/K11)</f>
      </c>
      <c r="N11" s="11" t="str">
        <f>=ROUNDUP(J11*1.8,0)</f>
      </c>
      <c r="O11" s="10" t="str">
        <f>=IF(I11&lt;N11,"需要补货","正常")</f>
      </c>
      <c r="P11" s="14">
        <v>4.1</v>
      </c>
      <c r="Q11" s="15">
        <v>46100</v>
      </c>
      <c r="R11" s="9" t="s">
        <v>27</v>
      </c>
    </row>
    <row r="12" ht="58" customHeight="true">
      <c r="A12" s="3"/>
      <c r="B12" s="2" t="s">
        <v>50</v>
      </c>
      <c r="C12" s="3" t="s">
        <v>51</v>
      </c>
      <c r="D12" s="3" t="s">
        <v>30</v>
      </c>
      <c r="E12" s="3" t="s">
        <v>32</v>
      </c>
      <c r="F12" s="5">
        <v>84.5</v>
      </c>
      <c r="G12" s="5">
        <v>157.51</v>
      </c>
      <c r="H12" s="4">
        <v>48</v>
      </c>
      <c r="I12" s="4">
        <v>45</v>
      </c>
      <c r="J12" s="4">
        <v>24</v>
      </c>
      <c r="K12" s="5" t="str">
        <f>=G12*J12</f>
      </c>
      <c r="L12" s="5" t="str">
        <f>=(G12-F12)*J12</f>
      </c>
      <c r="M12" s="6" t="str">
        <f>=IF(K12=0,0,L12/K12)</f>
      </c>
      <c r="N12" s="4" t="str">
        <f>=ROUNDUP(J12*1.8,0)</f>
      </c>
      <c r="O12" s="3" t="str">
        <f>=IF(I12&lt;N12,"需要补货","正常")</f>
      </c>
      <c r="P12" s="7">
        <v>4.3999999999999995</v>
      </c>
      <c r="Q12" s="8">
        <v>46095</v>
      </c>
      <c r="R12" s="2" t="s">
        <v>31</v>
      </c>
    </row>
    <row r="13" ht="58" customHeight="true">
      <c r="A13" s="10"/>
      <c r="B13" s="9" t="s">
        <v>53</v>
      </c>
      <c r="C13" s="10" t="s">
        <v>52</v>
      </c>
      <c r="D13" s="10" t="s">
        <v>37</v>
      </c>
      <c r="E13" s="10" t="s">
        <v>35</v>
      </c>
      <c r="F13" s="12">
        <v>110</v>
      </c>
      <c r="G13" s="12">
        <v>209.8</v>
      </c>
      <c r="H13" s="11">
        <v>57</v>
      </c>
      <c r="I13" s="11">
        <v>58</v>
      </c>
      <c r="J13" s="11">
        <v>31</v>
      </c>
      <c r="K13" s="12" t="str">
        <f>=G13*J13</f>
      </c>
      <c r="L13" s="12" t="str">
        <f>=(G13-F13)*J13</f>
      </c>
      <c r="M13" s="13" t="str">
        <f>=IF(K13=0,0,L13/K13)</f>
      </c>
      <c r="N13" s="11" t="str">
        <f>=ROUNDUP(J13*1.8,0)</f>
      </c>
      <c r="O13" s="10" t="str">
        <f>=IF(I13&lt;N13,"需要补货","正常")</f>
      </c>
      <c r="P13" s="14">
        <v>4.7</v>
      </c>
      <c r="Q13" s="15">
        <v>46090</v>
      </c>
      <c r="R13" s="9" t="s">
        <v>33</v>
      </c>
    </row>
    <row r="14" ht="58" customHeight="true">
      <c r="A14" s="3"/>
      <c r="B14" s="2" t="s">
        <v>54</v>
      </c>
      <c r="C14" s="3" t="s">
        <v>55</v>
      </c>
      <c r="D14" s="3" t="s">
        <v>18</v>
      </c>
      <c r="E14" s="3" t="s">
        <v>19</v>
      </c>
      <c r="F14" s="5">
        <v>110</v>
      </c>
      <c r="G14" s="5">
        <v>173.8</v>
      </c>
      <c r="H14" s="4">
        <v>66</v>
      </c>
      <c r="I14" s="4">
        <v>71</v>
      </c>
      <c r="J14" s="4">
        <v>38</v>
      </c>
      <c r="K14" s="5" t="str">
        <f>=G14*J14</f>
      </c>
      <c r="L14" s="5" t="str">
        <f>=(G14-F14)*J14</f>
      </c>
      <c r="M14" s="6" t="str">
        <f>=IF(K14=0,0,L14/K14)</f>
      </c>
      <c r="N14" s="4" t="str">
        <f>=ROUNDUP(J14*1.8,0)</f>
      </c>
      <c r="O14" s="3" t="str">
        <f>=IF(I14&lt;N14,"需要补货","正常")</f>
      </c>
      <c r="P14" s="7">
        <v>3.8</v>
      </c>
      <c r="Q14" s="8">
        <v>46085</v>
      </c>
      <c r="R14" s="2" t="s">
        <v>20</v>
      </c>
    </row>
    <row r="15" ht="58" customHeight="true">
      <c r="A15" s="10"/>
      <c r="B15" s="9" t="s">
        <v>57</v>
      </c>
      <c r="C15" s="10" t="s">
        <v>56</v>
      </c>
      <c r="D15" s="10" t="s">
        <v>25</v>
      </c>
      <c r="E15" s="10" t="s">
        <v>26</v>
      </c>
      <c r="F15" s="12">
        <v>135.5</v>
      </c>
      <c r="G15" s="12">
        <v>226.09</v>
      </c>
      <c r="H15" s="11">
        <v>75</v>
      </c>
      <c r="I15" s="11">
        <v>84</v>
      </c>
      <c r="J15" s="11">
        <v>45</v>
      </c>
      <c r="K15" s="12" t="str">
        <f>=G15*J15</f>
      </c>
      <c r="L15" s="12" t="str">
        <f>=(G15-F15)*J15</f>
      </c>
      <c r="M15" s="13" t="str">
        <f>=IF(K15=0,0,L15/K15)</f>
      </c>
      <c r="N15" s="11" t="str">
        <f>=ROUNDUP(J15*1.8,0)</f>
      </c>
      <c r="O15" s="10" t="str">
        <f>=IF(I15&lt;N15,"需要补货","正常")</f>
      </c>
      <c r="P15" s="14">
        <v>4.1</v>
      </c>
      <c r="Q15" s="15">
        <v>46080</v>
      </c>
      <c r="R15" s="9" t="s">
        <v>27</v>
      </c>
    </row>
    <row r="16" ht="58" customHeight="true">
      <c r="A16" s="3"/>
      <c r="B16" s="2" t="s">
        <v>58</v>
      </c>
      <c r="C16" s="3" t="s">
        <v>59</v>
      </c>
      <c r="D16" s="3" t="s">
        <v>30</v>
      </c>
      <c r="E16" s="3" t="s">
        <v>32</v>
      </c>
      <c r="F16" s="5">
        <v>161</v>
      </c>
      <c r="G16" s="5">
        <v>278.38</v>
      </c>
      <c r="H16" s="4">
        <v>84</v>
      </c>
      <c r="I16" s="4">
        <v>97</v>
      </c>
      <c r="J16" s="4">
        <v>52</v>
      </c>
      <c r="K16" s="5" t="str">
        <f>=G16*J16</f>
      </c>
      <c r="L16" s="5" t="str">
        <f>=(G16-F16)*J16</f>
      </c>
      <c r="M16" s="6" t="str">
        <f>=IF(K16=0,0,L16/K16)</f>
      </c>
      <c r="N16" s="4" t="str">
        <f>=ROUNDUP(J16*1.8,0)</f>
      </c>
      <c r="O16" s="3" t="str">
        <f>=IF(I16&lt;N16,"需要补货","正常")</f>
      </c>
      <c r="P16" s="7">
        <v>4.3999999999999995</v>
      </c>
      <c r="Q16" s="8">
        <v>46075</v>
      </c>
      <c r="R16" s="2" t="s">
        <v>31</v>
      </c>
    </row>
    <row r="17" ht="58" customHeight="true">
      <c r="A17" s="10"/>
      <c r="B17" s="9" t="s">
        <v>60</v>
      </c>
      <c r="C17" s="10" t="s">
        <v>61</v>
      </c>
      <c r="D17" s="10" t="s">
        <v>37</v>
      </c>
      <c r="E17" s="10" t="s">
        <v>35</v>
      </c>
      <c r="F17" s="12">
        <v>161</v>
      </c>
      <c r="G17" s="12">
        <v>290.38</v>
      </c>
      <c r="H17" s="11">
        <v>93</v>
      </c>
      <c r="I17" s="11">
        <v>15</v>
      </c>
      <c r="J17" s="11">
        <v>59</v>
      </c>
      <c r="K17" s="12" t="str">
        <f>=G17*J17</f>
      </c>
      <c r="L17" s="12" t="str">
        <f>=(G17-F17)*J17</f>
      </c>
      <c r="M17" s="13" t="str">
        <f>=IF(K17=0,0,L17/K17)</f>
      </c>
      <c r="N17" s="11" t="str">
        <f>=ROUNDUP(J17*1.8,0)</f>
      </c>
      <c r="O17" s="10" t="str">
        <f>=IF(I17&lt;N17,"需要补货","正常")</f>
      </c>
      <c r="P17" s="14">
        <v>4.7</v>
      </c>
      <c r="Q17" s="15">
        <v>46070</v>
      </c>
      <c r="R17" s="9" t="s">
        <v>33</v>
      </c>
    </row>
    <row r="18" ht="58" customHeight="true">
      <c r="A18" s="3"/>
      <c r="B18" s="2" t="s">
        <v>62</v>
      </c>
      <c r="C18" s="3" t="s">
        <v>63</v>
      </c>
      <c r="D18" s="3" t="s">
        <v>18</v>
      </c>
      <c r="E18" s="3" t="s">
        <v>19</v>
      </c>
      <c r="F18" s="5">
        <v>56.5</v>
      </c>
      <c r="G18" s="5">
        <v>89.27</v>
      </c>
      <c r="H18" s="4">
        <v>102</v>
      </c>
      <c r="I18" s="4">
        <v>28</v>
      </c>
      <c r="J18" s="4">
        <v>12</v>
      </c>
      <c r="K18" s="5" t="str">
        <f>=G18*J18</f>
      </c>
      <c r="L18" s="5" t="str">
        <f>=(G18-F18)*J18</f>
      </c>
      <c r="M18" s="6" t="str">
        <f>=IF(K18=0,0,L18/K18)</f>
      </c>
      <c r="N18" s="4" t="str">
        <f>=ROUNDUP(J18*1.8,0)</f>
      </c>
      <c r="O18" s="3" t="str">
        <f>=IF(I18&lt;N18,"需要补货","正常")</f>
      </c>
      <c r="P18" s="7">
        <v>3.8</v>
      </c>
      <c r="Q18" s="8">
        <v>46065</v>
      </c>
      <c r="R18" s="2" t="s">
        <v>20</v>
      </c>
    </row>
    <row r="19" ht="58" customHeight="true">
      <c r="A19" s="10"/>
      <c r="B19" s="9" t="s">
        <v>64</v>
      </c>
      <c r="C19" s="10" t="s">
        <v>65</v>
      </c>
      <c r="D19" s="10" t="s">
        <v>25</v>
      </c>
      <c r="E19" s="10" t="s">
        <v>26</v>
      </c>
      <c r="F19" s="12">
        <v>82</v>
      </c>
      <c r="G19" s="12">
        <v>141.56</v>
      </c>
      <c r="H19" s="11">
        <v>111</v>
      </c>
      <c r="I19" s="11">
        <v>41</v>
      </c>
      <c r="J19" s="11">
        <v>19</v>
      </c>
      <c r="K19" s="12" t="str">
        <f>=G19*J19</f>
      </c>
      <c r="L19" s="12" t="str">
        <f>=(G19-F19)*J19</f>
      </c>
      <c r="M19" s="13" t="str">
        <f>=IF(K19=0,0,L19/K19)</f>
      </c>
      <c r="N19" s="11" t="str">
        <f>=ROUNDUP(J19*1.8,0)</f>
      </c>
      <c r="O19" s="10" t="str">
        <f>=IF(I19&lt;N19,"需要补货","正常")</f>
      </c>
      <c r="P19" s="14">
        <v>4.1</v>
      </c>
      <c r="Q19" s="15">
        <v>46060</v>
      </c>
      <c r="R19" s="9" t="s">
        <v>27</v>
      </c>
    </row>
    <row r="20" ht="58" customHeight="true">
      <c r="A20" s="3"/>
      <c r="B20" s="2" t="s">
        <v>67</v>
      </c>
      <c r="C20" s="3" t="s">
        <v>66</v>
      </c>
      <c r="D20" s="3" t="s">
        <v>30</v>
      </c>
      <c r="E20" s="3" t="s">
        <v>32</v>
      </c>
      <c r="F20" s="5">
        <v>82</v>
      </c>
      <c r="G20" s="5">
        <v>153.56</v>
      </c>
      <c r="H20" s="4">
        <v>120</v>
      </c>
      <c r="I20" s="4">
        <v>54</v>
      </c>
      <c r="J20" s="4">
        <v>26</v>
      </c>
      <c r="K20" s="5" t="str">
        <f>=G20*J20</f>
      </c>
      <c r="L20" s="5" t="str">
        <f>=(G20-F20)*J20</f>
      </c>
      <c r="M20" s="6" t="str">
        <f>=IF(K20=0,0,L20/K20)</f>
      </c>
      <c r="N20" s="4" t="str">
        <f>=ROUNDUP(J20*1.8,0)</f>
      </c>
      <c r="O20" s="3" t="str">
        <f>=IF(I20&lt;N20,"需要补货","正常")</f>
      </c>
      <c r="P20" s="7">
        <v>4.3999999999999995</v>
      </c>
      <c r="Q20" s="8">
        <v>46055</v>
      </c>
      <c r="R20" s="2" t="s">
        <v>31</v>
      </c>
    </row>
    <row r="21" ht="58" customHeight="true">
      <c r="A21" s="10"/>
      <c r="B21" s="9" t="s">
        <v>69</v>
      </c>
      <c r="C21" s="10" t="s">
        <v>68</v>
      </c>
      <c r="D21" s="10" t="s">
        <v>37</v>
      </c>
      <c r="E21" s="10" t="s">
        <v>35</v>
      </c>
      <c r="F21" s="12">
        <v>107.5</v>
      </c>
      <c r="G21" s="12">
        <v>205.85</v>
      </c>
      <c r="H21" s="11">
        <v>129</v>
      </c>
      <c r="I21" s="11">
        <v>67</v>
      </c>
      <c r="J21" s="11">
        <v>33</v>
      </c>
      <c r="K21" s="12" t="str">
        <f>=G21*J21</f>
      </c>
      <c r="L21" s="12" t="str">
        <f>=(G21-F21)*J21</f>
      </c>
      <c r="M21" s="13" t="str">
        <f>=IF(K21=0,0,L21/K21)</f>
      </c>
      <c r="N21" s="11" t="str">
        <f>=ROUNDUP(J21*1.8,0)</f>
      </c>
      <c r="O21" s="10" t="str">
        <f>=IF(I21&lt;N21,"需要补货","正常")</f>
      </c>
      <c r="P21" s="14">
        <v>4.7</v>
      </c>
      <c r="Q21" s="15">
        <v>46050</v>
      </c>
      <c r="R21" s="9" t="s">
        <v>33</v>
      </c>
    </row>
  </sheetData>
  <conditionalFormatting sqref="K2:K21">
    <cfRule type="dataBar" priority="1">
      <dataBar showValue="true">
        <cfvo type="min"/>
        <cfvo type="max"/>
        <color rgb="FF5B8DEF"/>
      </dataBar>
      <extLst>
        <ext xmlns:x14="http://schemas.microsoft.com/office/spreadsheetml/2009/9/main" uri="{B025F937-C7B1-47D3-B67F-A62EFF666E3E}">
          <x14:id>{00000000-0000-0000-0001-000000000000}</x14:id>
        </ext>
      </extLst>
    </cfRule>
  </conditionalFormatting>
  <conditionalFormatting sqref="M2:M21">
    <cfRule type="colorScale" priority="2">
      <colorScale>
        <cfvo type="min" val="0"/>
        <cfvo type="percentile" val="50"/>
        <cfvo type="max" val="0"/>
        <color rgb="FFF8696B"/>
        <color rgb="FFFFEB84"/>
        <color rgb="FF63BE7B"/>
      </colorScale>
    </cfRule>
  </conditionalFormatting>
  <conditionalFormatting sqref="O2:O21">
    <cfRule type="containsText" dxfId="0" priority="3" operator="containsText" text="需要补货">
      <formula>NOT(ISERROR(SEARCH("需要补货",O2)))</formula>
    </cfRule>
    <cfRule type="containsText" dxfId="1" priority="4" operator="containsText" text="正常">
      <formula>NOT(ISERROR(SEARCH("正常",O2)))</formula>
    </cfRule>
  </conditionalFormatting>
  <drawing r:id="rId1"/>
  <tableParts count="1">
    <tablePart r:id="rId2"/>
  </tableParts>
  <extLst>
    <ext uri="{78C0D931-6437-407d-A8EE-F0AAD7539E65}">
      <x14:conditionalFormattings>
        <x14:conditionalFormatting xmlns:xm="http://schemas.microsoft.com/office/excel/2006/main">
          <x14:cfRule type="dataBar" id="{00000000-0000-0000-0001-000000000000}">
            <x14:dataBar maxLength="100" minLength="0" border="false" gradient="false">
              <x14:cfvo type="autoMin"/>
              <x14:cfvo type="autoMax"/>
              <x14:negativeFillColor rgb="FFFF0000"/>
              <x14:axisColor rgb="FFFF0000"/>
            </x14:dataBar>
          </x14:cfRule>
        </x14:conditionalFormatting>
      </x14:conditionalFormattings>
    </ext>
  </extLst>
</worksheet>
</file>

<file path=xl/worksheets/sheet2.xml><?xml version="1.0" encoding="utf-8"?>
<worksheet xmlns="http://schemas.openxmlformats.org/spreadsheetml/2006/main">
  <dimension ref="A1"/>
  <sheetViews>
    <sheetView showGridLines="false" workbookViewId="0"/>
  </sheetViews>
  <cols>
    <col customWidth="true" max="1" min="1" width="18"/>
    <col customWidth="true" max="4" min="2" width="16"/>
  </cols>
  <sheetData>
    <row r="1">
      <c r="A1" s="16" t="s">
        <v>70</v>
      </c>
      <c r="B1" s="16"/>
      <c r="C1" s="16"/>
      <c r="D1" s="16"/>
    </row>
    <row r="2"/>
    <row r="3">
      <c r="A3" s="17" t="s">
        <v>71</v>
      </c>
      <c r="B3" s="18" t="str">
        <f>=COUNTA(商品清单!B2:B21)</f>
      </c>
    </row>
    <row r="4">
      <c r="A4" s="17" t="s">
        <v>72</v>
      </c>
      <c r="B4" s="19" t="str">
        <f>=SUM(商品清单!K2:K21)</f>
      </c>
    </row>
    <row r="5">
      <c r="A5" s="17" t="s">
        <v>73</v>
      </c>
      <c r="B5" s="19" t="str">
        <f>=SUM(商品清单!L2:L21)</f>
      </c>
    </row>
    <row r="6">
      <c r="A6" s="17" t="s">
        <v>74</v>
      </c>
      <c r="B6" s="20" t="str">
        <f>=AVERAGE(商品清单!M2:M21)</f>
      </c>
    </row>
    <row r="7">
      <c r="A7" s="17" t="s">
        <v>75</v>
      </c>
      <c r="B7" s="21" t="str">
        <f>=COUNTIF(商品清单!O2:O21,"需要补货")</f>
      </c>
    </row>
    <row r="8">
      <c r="A8" s="17" t="s">
        <v>76</v>
      </c>
      <c r="B8" s="18" t="str">
        <f>=AVERAGE(商品清单!P2:P21)</f>
      </c>
    </row>
    <row r="9"/>
    <row r="10"/>
    <row r="11">
      <c r="A11" s="1" t="s">
        <v>3</v>
      </c>
      <c r="B11" s="1" t="s">
        <v>77</v>
      </c>
      <c r="C11" s="1" t="s">
        <v>78</v>
      </c>
      <c r="D11" s="1" t="s">
        <v>76</v>
      </c>
    </row>
    <row r="12">
      <c r="A12" s="17" t="s">
        <v>18</v>
      </c>
      <c r="B12" s="19" t="str">
        <f>=SUMIF(商品清单!D2:D21,A12,商品清单!K2:K21)</f>
      </c>
      <c r="C12" s="19" t="str">
        <f>=SUMIF(商品清单!D2:D21,A12,商品清单!L2:L21)</f>
      </c>
      <c r="D12" s="18" t="str">
        <f>=AVERAGEIF(商品清单!D2:D21,A12,商品清单!P2:P21)</f>
      </c>
    </row>
    <row r="13">
      <c r="A13" s="17" t="s">
        <v>25</v>
      </c>
      <c r="B13" s="19" t="str">
        <f>=SUMIF(商品清单!D2:D21,A13,商品清单!K2:K21)</f>
      </c>
      <c r="C13" s="19" t="str">
        <f>=SUMIF(商品清单!D2:D21,A13,商品清单!L2:L21)</f>
      </c>
      <c r="D13" s="18" t="str">
        <f>=AVERAGEIF(商品清单!D2:D21,A13,商品清单!P2:P21)</f>
      </c>
    </row>
    <row r="14">
      <c r="A14" s="17" t="s">
        <v>30</v>
      </c>
      <c r="B14" s="19" t="str">
        <f>=SUMIF(商品清单!D2:D21,A14,商品清单!K2:K21)</f>
      </c>
      <c r="C14" s="19" t="str">
        <f>=SUMIF(商品清单!D2:D21,A14,商品清单!L2:L21)</f>
      </c>
      <c r="D14" s="18" t="str">
        <f>=AVERAGEIF(商品清单!D2:D21,A14,商品清单!P2:P21)</f>
      </c>
    </row>
    <row r="15">
      <c r="A15" s="17" t="s">
        <v>37</v>
      </c>
      <c r="B15" s="19" t="str">
        <f>=SUMIF(商品清单!D2:D21,A15,商品清单!K2:K21)</f>
      </c>
      <c r="C15" s="19" t="str">
        <f>=SUMIF(商品清单!D2:D21,A15,商品清单!L2:L21)</f>
      </c>
      <c r="D15" s="18" t="str">
        <f>=AVERAGEIF(商品清单!D2:D21,A15,商品清单!P2:P21)</f>
      </c>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